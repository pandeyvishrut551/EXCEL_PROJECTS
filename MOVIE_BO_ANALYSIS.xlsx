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E:\PROJECTS\EXCEL SHEETS\"/>
    </mc:Choice>
  </mc:AlternateContent>
  <xr:revisionPtr revIDLastSave="0" documentId="13_ncr:1_{2CD0C14B-4949-4DA4-AA6F-AC94AC2B9320}" xr6:coauthVersionLast="47" xr6:coauthVersionMax="47" xr10:uidLastSave="{00000000-0000-0000-0000-000000000000}"/>
  <bookViews>
    <workbookView xWindow="-108" yWindow="-108" windowWidth="23256" windowHeight="12456" xr2:uid="{0DAA06E7-717D-4039-85BB-EF37685961B5}"/>
  </bookViews>
  <sheets>
    <sheet name="Sheet1" sheetId="1" r:id="rId1"/>
    <sheet name="DASHBOARD" sheetId="5" r:id="rId2"/>
    <sheet name="PIVOT TABLES" sheetId="4" r:id="rId3"/>
  </sheets>
  <definedNames>
    <definedName name="_xlcn.WorksheetConnection_MOVIE.BO.ANALYSIS.xlsxmovie_genres" hidden="1">movie_genres</definedName>
    <definedName name="_xlcn.WorksheetConnection_MOVIE.BO.ANALYSIS.xlsxTable1" hidden="1">Table1[]</definedName>
    <definedName name="Slicer_LANGUAGE">#N/A</definedName>
    <definedName name="Slicer_LANGUAGE1">#N/A</definedName>
    <definedName name="Slicer_RELEASE_YEAR">#N/A</definedName>
    <definedName name="Slicer_VERDICT">#N/A</definedName>
    <definedName name="Slicer_VERDICT1">#N/A</definedName>
    <definedName name="Slicer_Years__RELEASE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4:slicerCache r:id="rId9"/>
        <x14:slicerCache r:id="rId10"/>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MOVIE.BO.ANALYSIS.xlsx!Table1"/>
          <x15:modelTable id="movie_genres" name="movie_genres" connection="WorksheetConnection_MOVIE.BO.ANALYSIS.xlsx!movie_genres"/>
        </x15:modelTables>
        <x15:modelRelationships>
          <x15:modelRelationship fromTable="movie_genres" fromColumn="MOVIE NAME" toTable="Table1" toColumn="MOVIE NAM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6" i="1" l="1"/>
  <c r="C17" i="1"/>
  <c r="C7" i="1"/>
  <c r="C8" i="1"/>
  <c r="C9" i="1"/>
  <c r="C10" i="1"/>
  <c r="C11" i="1"/>
  <c r="C5" i="1"/>
  <c r="C13" i="1"/>
  <c r="C14" i="1"/>
  <c r="C15" i="1"/>
  <c r="C20" i="1"/>
  <c r="C12" i="1"/>
  <c r="C18" i="1"/>
  <c r="C19" i="1"/>
  <c r="C16" i="1"/>
  <c r="C21" i="1"/>
  <c r="C6" i="1"/>
  <c r="H6" i="1"/>
  <c r="I6" i="1" s="1"/>
  <c r="H7" i="1"/>
  <c r="I7" i="1" s="1"/>
  <c r="H8" i="1"/>
  <c r="I8" i="1" s="1"/>
  <c r="H9" i="1"/>
  <c r="I9" i="1" s="1"/>
  <c r="H10" i="1"/>
  <c r="I10" i="1" s="1"/>
  <c r="H11" i="1"/>
  <c r="I11" i="1" s="1"/>
  <c r="Q27" i="1" s="1"/>
  <c r="H5" i="1"/>
  <c r="I5" i="1" s="1"/>
  <c r="H13" i="1"/>
  <c r="I13" i="1" s="1"/>
  <c r="H14" i="1"/>
  <c r="I14" i="1" s="1"/>
  <c r="H15" i="1"/>
  <c r="I15" i="1" s="1"/>
  <c r="Q23" i="1" s="1"/>
  <c r="H20" i="1"/>
  <c r="I20" i="1" s="1"/>
  <c r="H12" i="1"/>
  <c r="I12" i="1" s="1"/>
  <c r="Q25" i="1" s="1"/>
  <c r="H18" i="1"/>
  <c r="I18" i="1" s="1"/>
  <c r="Q24" i="1" s="1"/>
  <c r="H19" i="1"/>
  <c r="I19" i="1" s="1"/>
  <c r="H16" i="1"/>
  <c r="I16" i="1" s="1"/>
  <c r="H21" i="1"/>
  <c r="I21" i="1" s="1"/>
  <c r="H17" i="1"/>
  <c r="I17"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FAF2DC-9D7D-4509-AE0E-90EB6E003642}" keepAlive="1" name="Query - movie_genres" description="Connection to the 'movie_genres' query in the workbook." type="5" refreshedVersion="8" background="1" saveData="1">
    <dbPr connection="Provider=Microsoft.Mashup.OleDb.1;Data Source=$Workbook$;Location=movie_genres;Extended Properties=&quot;&quot;" command="SELECT * FROM [movie_genres]"/>
  </connection>
  <connection id="2" xr16:uid="{58821764-2198-41E3-AC55-DE581F612F13}"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3" xr16:uid="{30DC9FC6-0674-4C3C-A0C5-A127766E02A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C90BF7E9-11AE-40ED-B146-96CAF771F211}" name="WorksheetConnection_MOVIE.BO.ANALYSIS.xlsx!movie_genres" type="102" refreshedVersion="8" minRefreshableVersion="5">
    <extLst>
      <ext xmlns:x15="http://schemas.microsoft.com/office/spreadsheetml/2010/11/main" uri="{DE250136-89BD-433C-8126-D09CA5730AF9}">
        <x15:connection id="movie_genres">
          <x15:rangePr sourceName="_xlcn.WorksheetConnection_MOVIE.BO.ANALYSIS.xlsxmovie_genres"/>
        </x15:connection>
      </ext>
    </extLst>
  </connection>
  <connection id="5" xr16:uid="{FC31C4AB-D0AD-433E-99A1-8DF6B8EC9D40}" name="WorksheetConnection_MOVIE.BO.ANALYSIS.xlsx!Table1" type="102" refreshedVersion="8" minRefreshableVersion="5">
    <extLst>
      <ext xmlns:x15="http://schemas.microsoft.com/office/spreadsheetml/2010/11/main" uri="{DE250136-89BD-433C-8126-D09CA5730AF9}">
        <x15:connection id="Table1">
          <x15:rangePr sourceName="_xlcn.WorksheetConnection_MOVIE.BO.ANALYSIS.xlsxTable1"/>
        </x15:connection>
      </ext>
    </extLst>
  </connection>
</connections>
</file>

<file path=xl/sharedStrings.xml><?xml version="1.0" encoding="utf-8"?>
<sst xmlns="http://schemas.openxmlformats.org/spreadsheetml/2006/main" count="145" uniqueCount="79">
  <si>
    <t>MOVIE BOX OFFICE ANALYSIS</t>
  </si>
  <si>
    <t>MOVIE NAME</t>
  </si>
  <si>
    <t>RELEASE DATE</t>
  </si>
  <si>
    <t>GENRE</t>
  </si>
  <si>
    <t>LANGUAGE</t>
  </si>
  <si>
    <t>BUDGET</t>
  </si>
  <si>
    <t>ROI</t>
  </si>
  <si>
    <t>VERDICT</t>
  </si>
  <si>
    <t>Drishyam 2</t>
  </si>
  <si>
    <t>12th Fail</t>
  </si>
  <si>
    <t>Andhadhun</t>
  </si>
  <si>
    <t>Kantara</t>
  </si>
  <si>
    <t>Tumbbad</t>
  </si>
  <si>
    <t>Kill</t>
  </si>
  <si>
    <t>The Kashmir Files</t>
  </si>
  <si>
    <t>Super 30</t>
  </si>
  <si>
    <t>Sam Bahadur</t>
  </si>
  <si>
    <t>Vikram</t>
  </si>
  <si>
    <t>Animal</t>
  </si>
  <si>
    <t>Bhediya</t>
  </si>
  <si>
    <t>Lokah Chapter 1</t>
  </si>
  <si>
    <t>Kalki 2898 AD</t>
  </si>
  <si>
    <t>Chhaava</t>
  </si>
  <si>
    <t>Bramayugam</t>
  </si>
  <si>
    <t>Drama/History</t>
  </si>
  <si>
    <t>Action/Crime</t>
  </si>
  <si>
    <t>Horror/Drama</t>
  </si>
  <si>
    <t>Action/Thriller</t>
  </si>
  <si>
    <t>Drama</t>
  </si>
  <si>
    <t>War/Biography</t>
  </si>
  <si>
    <t>Drama/Biography</t>
  </si>
  <si>
    <t>Horror/Comedy/Fantasy</t>
  </si>
  <si>
    <t>Horror/Fantasy</t>
  </si>
  <si>
    <t>Fantasy/Adventure</t>
  </si>
  <si>
    <t>Thriller/Mystery</t>
  </si>
  <si>
    <t>Crime/Thriller/Mystery</t>
  </si>
  <si>
    <t>Action/Thriller/Mythology</t>
  </si>
  <si>
    <t>Sci-fi/Action</t>
  </si>
  <si>
    <t>Hindi</t>
  </si>
  <si>
    <t>Kannada</t>
  </si>
  <si>
    <t>Malyalam</t>
  </si>
  <si>
    <t>Telegu</t>
  </si>
  <si>
    <t>Tamil</t>
  </si>
  <si>
    <t>Romance/Drama/Musical</t>
  </si>
  <si>
    <t>Saiyaara</t>
  </si>
  <si>
    <t>Grand Total</t>
  </si>
  <si>
    <t>Genre</t>
  </si>
  <si>
    <t>2018</t>
  </si>
  <si>
    <t>2019</t>
  </si>
  <si>
    <t>2022</t>
  </si>
  <si>
    <t>2023</t>
  </si>
  <si>
    <t>2024</t>
  </si>
  <si>
    <t>2025</t>
  </si>
  <si>
    <t>no. of movies</t>
  </si>
  <si>
    <t>release year</t>
  </si>
  <si>
    <t>Release year</t>
  </si>
  <si>
    <t>total box office</t>
  </si>
  <si>
    <t>Average ROI</t>
  </si>
  <si>
    <t>language</t>
  </si>
  <si>
    <t>Total Collection</t>
  </si>
  <si>
    <t>AVERAGE</t>
  </si>
  <si>
    <t>BLOCKBUSTER</t>
  </si>
  <si>
    <t>FLOP</t>
  </si>
  <si>
    <t>HIT</t>
  </si>
  <si>
    <t>SUPER HIT</t>
  </si>
  <si>
    <t>NO.  Of movies</t>
  </si>
  <si>
    <t>Verdict</t>
  </si>
  <si>
    <t>RELEASE YEAR</t>
  </si>
  <si>
    <t/>
  </si>
  <si>
    <t xml:space="preserve"> WORLDWIDE COLLECTION</t>
  </si>
  <si>
    <t xml:space="preserve"> TOTAL NET COLLECTION</t>
  </si>
  <si>
    <t xml:space="preserve">movie </t>
  </si>
  <si>
    <t>verdict</t>
  </si>
  <si>
    <t>sam bahadur</t>
  </si>
  <si>
    <t>vikram</t>
  </si>
  <si>
    <t>saiyaara</t>
  </si>
  <si>
    <t>bhediya</t>
  </si>
  <si>
    <t>kill</t>
  </si>
  <si>
    <t>here im just checking if my vlookup logic is working or not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</si>
</sst>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quot;CR&quot;"/>
  </numFmts>
  <fonts count="5" x14ac:knownFonts="1">
    <font>
      <sz val="11"/>
      <color theme="1"/>
      <name val="Calibri"/>
      <family val="2"/>
      <scheme val="minor"/>
    </font>
    <font>
      <b/>
      <sz val="11"/>
      <color theme="1"/>
      <name val="Calibri"/>
      <family val="2"/>
      <scheme val="minor"/>
    </font>
    <font>
      <sz val="14"/>
      <color theme="1"/>
      <name val="Arial Rounded MT Bold"/>
      <family val="2"/>
    </font>
    <font>
      <b/>
      <sz val="18"/>
      <color theme="1"/>
      <name val="Calibri"/>
      <family val="2"/>
      <scheme val="minor"/>
    </font>
    <font>
      <b/>
      <sz val="12"/>
      <color theme="8" tint="0.59999389629810485"/>
      <name val="Arial Rounded MT Bold"/>
      <family val="2"/>
    </font>
  </fonts>
  <fills count="6">
    <fill>
      <patternFill patternType="none"/>
    </fill>
    <fill>
      <patternFill patternType="gray125"/>
    </fill>
    <fill>
      <patternFill patternType="solid">
        <fgColor rgb="FFFFCC99"/>
        <bgColor indexed="64"/>
      </patternFill>
    </fill>
    <fill>
      <patternFill patternType="solid">
        <fgColor rgb="FF7030A0"/>
        <bgColor indexed="64"/>
      </patternFill>
    </fill>
    <fill>
      <patternFill patternType="solid">
        <fgColor rgb="FF66FF33"/>
        <bgColor indexed="64"/>
      </patternFill>
    </fill>
    <fill>
      <patternFill patternType="solid">
        <fgColor theme="1" tint="4.9989318521683403E-2"/>
        <bgColor indexed="64"/>
      </patternFill>
    </fill>
  </fills>
  <borders count="15">
    <border>
      <left/>
      <right/>
      <top/>
      <bottom/>
      <diagonal/>
    </border>
    <border>
      <left style="thin">
        <color rgb="FF00B0F0"/>
      </left>
      <right style="thin">
        <color rgb="FF00B0F0"/>
      </right>
      <top style="thin">
        <color rgb="FF00B0F0"/>
      </top>
      <bottom style="thin">
        <color rgb="FF00B0F0"/>
      </bottom>
      <diagonal/>
    </border>
    <border>
      <left style="thin">
        <color rgb="FF00B0F0"/>
      </left>
      <right/>
      <top style="thin">
        <color rgb="FF00B0F0"/>
      </top>
      <bottom/>
      <diagonal/>
    </border>
    <border>
      <left/>
      <right/>
      <top style="thin">
        <color rgb="FF00B0F0"/>
      </top>
      <bottom/>
      <diagonal/>
    </border>
    <border>
      <left/>
      <right style="thin">
        <color rgb="FF00B0F0"/>
      </right>
      <top style="thin">
        <color rgb="FF00B0F0"/>
      </top>
      <bottom/>
      <diagonal/>
    </border>
    <border>
      <left style="thin">
        <color rgb="FF00B0F0"/>
      </left>
      <right/>
      <top/>
      <bottom style="thin">
        <color rgb="FF00B0F0"/>
      </bottom>
      <diagonal/>
    </border>
    <border>
      <left/>
      <right/>
      <top/>
      <bottom style="thin">
        <color rgb="FF00B0F0"/>
      </bottom>
      <diagonal/>
    </border>
    <border>
      <left/>
      <right style="thin">
        <color rgb="FF00B0F0"/>
      </right>
      <top/>
      <bottom style="thin">
        <color rgb="FF00B0F0"/>
      </bottom>
      <diagonal/>
    </border>
    <border>
      <left/>
      <right style="thin">
        <color rgb="FF00B0F0"/>
      </right>
      <top style="thin">
        <color rgb="FF00B0F0"/>
      </top>
      <bottom style="thin">
        <color rgb="FF00B0F0"/>
      </bottom>
      <diagonal/>
    </border>
    <border>
      <left style="thin">
        <color rgb="FF00B0F0"/>
      </left>
      <right/>
      <top style="thin">
        <color rgb="FF00B0F0"/>
      </top>
      <bottom style="thin">
        <color rgb="FF00B0F0"/>
      </bottom>
      <diagonal/>
    </border>
    <border>
      <left style="thin">
        <color rgb="FF00B0F0"/>
      </left>
      <right style="thin">
        <color rgb="FF00B0F0"/>
      </right>
      <top/>
      <bottom style="thin">
        <color rgb="FF00B0F0"/>
      </bottom>
      <diagonal/>
    </border>
    <border>
      <left style="thin">
        <color rgb="FF00B0F0"/>
      </left>
      <right style="thin">
        <color rgb="FF00B0F0"/>
      </right>
      <top style="thin">
        <color rgb="FF00B0F0"/>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37">
    <xf numFmtId="0" fontId="0" fillId="0" borderId="0" xfId="0"/>
    <xf numFmtId="0" fontId="0" fillId="0" borderId="0" xfId="0" applyAlignment="1">
      <alignment horizontal="center"/>
    </xf>
    <xf numFmtId="0" fontId="0" fillId="0" borderId="1" xfId="0" applyBorder="1" applyAlignment="1">
      <alignment horizontal="center"/>
    </xf>
    <xf numFmtId="14" fontId="0" fillId="0" borderId="1" xfId="0" applyNumberFormat="1" applyBorder="1" applyAlignment="1">
      <alignment horizontal="center"/>
    </xf>
    <xf numFmtId="164" fontId="0" fillId="0" borderId="1" xfId="0" applyNumberFormat="1" applyBorder="1" applyAlignment="1">
      <alignment horizontal="center"/>
    </xf>
    <xf numFmtId="10" fontId="0" fillId="0" borderId="1" xfId="0" applyNumberFormat="1" applyBorder="1" applyAlignment="1">
      <alignment horizontal="center"/>
    </xf>
    <xf numFmtId="0" fontId="1" fillId="0" borderId="7" xfId="0" applyFont="1" applyBorder="1" applyAlignment="1">
      <alignment horizontal="center" vertical="center"/>
    </xf>
    <xf numFmtId="0" fontId="1" fillId="0" borderId="10" xfId="0" applyFont="1" applyBorder="1" applyAlignment="1">
      <alignment horizontal="center" vertical="center"/>
    </xf>
    <xf numFmtId="0" fontId="1" fillId="0" borderId="10" xfId="0" applyFont="1" applyBorder="1" applyAlignment="1">
      <alignment horizontal="center" vertical="center" wrapText="1"/>
    </xf>
    <xf numFmtId="0" fontId="1" fillId="0" borderId="5" xfId="0" applyFont="1" applyBorder="1" applyAlignment="1">
      <alignment horizontal="center" vertical="center"/>
    </xf>
    <xf numFmtId="14" fontId="0" fillId="0" borderId="11" xfId="0" applyNumberFormat="1" applyBorder="1" applyAlignment="1">
      <alignment horizontal="center"/>
    </xf>
    <xf numFmtId="0" fontId="0" fillId="0" borderId="11" xfId="0" applyBorder="1" applyAlignment="1">
      <alignment horizontal="center"/>
    </xf>
    <xf numFmtId="164" fontId="0" fillId="0" borderId="11" xfId="0" applyNumberFormat="1" applyBorder="1" applyAlignment="1">
      <alignment horizontal="center"/>
    </xf>
    <xf numFmtId="10" fontId="0" fillId="0" borderId="11" xfId="0" applyNumberFormat="1" applyBorder="1" applyAlignment="1">
      <alignment horizontal="center"/>
    </xf>
    <xf numFmtId="0" fontId="0" fillId="0" borderId="12" xfId="0" pivotButton="1" applyBorder="1" applyAlignment="1">
      <alignment horizontal="center"/>
    </xf>
    <xf numFmtId="0" fontId="0" fillId="0" borderId="12" xfId="0" applyBorder="1" applyAlignment="1">
      <alignment horizontal="center"/>
    </xf>
    <xf numFmtId="164" fontId="0" fillId="0" borderId="12" xfId="0" applyNumberFormat="1" applyBorder="1" applyAlignment="1">
      <alignment horizontal="center"/>
    </xf>
    <xf numFmtId="10" fontId="0" fillId="0" borderId="12" xfId="0" applyNumberFormat="1" applyBorder="1" applyAlignment="1">
      <alignment horizontal="center"/>
    </xf>
    <xf numFmtId="2" fontId="1" fillId="0" borderId="10" xfId="0" applyNumberFormat="1" applyFont="1" applyBorder="1" applyAlignment="1">
      <alignment horizontal="center" vertical="center"/>
    </xf>
    <xf numFmtId="1" fontId="0" fillId="0" borderId="1" xfId="0" applyNumberFormat="1" applyBorder="1" applyAlignment="1">
      <alignment horizontal="center"/>
    </xf>
    <xf numFmtId="0" fontId="0" fillId="0" borderId="8" xfId="0"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vertical="center"/>
    </xf>
    <xf numFmtId="0" fontId="0" fillId="0" borderId="9" xfId="0" applyBorder="1" applyAlignment="1">
      <alignment horizontal="center" vertical="center"/>
    </xf>
    <xf numFmtId="0" fontId="0" fillId="0" borderId="2" xfId="0" applyBorder="1" applyAlignment="1">
      <alignment horizontal="center" vertical="center"/>
    </xf>
    <xf numFmtId="164" fontId="0" fillId="0" borderId="0" xfId="0" applyNumberFormat="1" applyAlignment="1">
      <alignment horizontal="center" vertical="center"/>
    </xf>
    <xf numFmtId="0" fontId="0" fillId="0" borderId="0" xfId="0" pivotButton="1" applyAlignment="1">
      <alignment horizontal="center" vertical="center"/>
    </xf>
    <xf numFmtId="0" fontId="0" fillId="0" borderId="12" xfId="0" applyBorder="1" applyAlignment="1">
      <alignment horizontal="center" vertical="center"/>
    </xf>
    <xf numFmtId="0" fontId="3" fillId="3" borderId="14" xfId="0" applyFont="1" applyFill="1" applyBorder="1" applyAlignment="1">
      <alignment horizontal="center" vertical="center"/>
    </xf>
    <xf numFmtId="0" fontId="3" fillId="4" borderId="13"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4" fillId="5" borderId="12" xfId="0" applyFont="1" applyFill="1" applyBorder="1" applyAlignment="1">
      <alignment horizontal="center" vertical="center" wrapText="1"/>
    </xf>
  </cellXfs>
  <cellStyles count="1">
    <cellStyle name="Normal" xfId="0" builtinId="0"/>
  </cellStyles>
  <dxfs count="87">
    <dxf>
      <alignment horizontal="center" vertical="center" textRotation="0" wrapText="0" indent="0" justifyLastLine="0" shrinkToFit="0" readingOrder="0"/>
      <border diagonalUp="0" diagonalDown="0" outline="0">
        <left style="thin">
          <color rgb="FF00B0F0"/>
        </left>
        <right/>
        <top style="thin">
          <color rgb="FF00B0F0"/>
        </top>
        <bottom style="thin">
          <color rgb="FF00B0F0"/>
        </bottom>
      </border>
    </dxf>
    <dxf>
      <numFmt numFmtId="14" formatCode="0.00%"/>
      <alignment horizontal="center" vertical="bottom" textRotation="0" wrapText="0" indent="0" justifyLastLine="0" shrinkToFit="0" readingOrder="0"/>
      <border diagonalUp="0" diagonalDown="0">
        <left style="thin">
          <color rgb="FF00B0F0"/>
        </left>
        <right style="thin">
          <color rgb="FF00B0F0"/>
        </right>
        <top style="thin">
          <color rgb="FF00B0F0"/>
        </top>
        <bottom style="thin">
          <color rgb="FF00B0F0"/>
        </bottom>
        <vertical/>
        <horizontal/>
      </border>
    </dxf>
    <dxf>
      <numFmt numFmtId="164" formatCode="0\ &quot;CR&quot;"/>
      <alignment horizontal="center" vertical="bottom" textRotation="0" wrapText="0" indent="0" justifyLastLine="0" shrinkToFit="0" readingOrder="0"/>
      <border diagonalUp="0" diagonalDown="0">
        <left style="thin">
          <color rgb="FF00B0F0"/>
        </left>
        <right style="thin">
          <color rgb="FF00B0F0"/>
        </right>
        <top style="thin">
          <color rgb="FF00B0F0"/>
        </top>
        <bottom style="thin">
          <color rgb="FF00B0F0"/>
        </bottom>
        <vertical/>
        <horizontal/>
      </border>
    </dxf>
    <dxf>
      <numFmt numFmtId="164" formatCode="0\ &quot;CR&quot;"/>
      <alignment horizontal="center" vertical="bottom" textRotation="0" wrapText="0" indent="0" justifyLastLine="0" shrinkToFit="0" readingOrder="0"/>
      <border diagonalUp="0" diagonalDown="0">
        <left style="thin">
          <color rgb="FF00B0F0"/>
        </left>
        <right style="thin">
          <color rgb="FF00B0F0"/>
        </right>
        <top style="thin">
          <color rgb="FF00B0F0"/>
        </top>
        <bottom style="thin">
          <color rgb="FF00B0F0"/>
        </bottom>
        <vertical/>
        <horizontal/>
      </border>
    </dxf>
    <dxf>
      <alignment horizontal="center" vertical="bottom" textRotation="0" wrapText="0" indent="0" justifyLastLine="0" shrinkToFit="0" readingOrder="0"/>
      <border diagonalUp="0" diagonalDown="0">
        <left style="thin">
          <color rgb="FF00B0F0"/>
        </left>
        <right style="thin">
          <color rgb="FF00B0F0"/>
        </right>
        <top style="thin">
          <color rgb="FF00B0F0"/>
        </top>
        <bottom style="thin">
          <color rgb="FF00B0F0"/>
        </bottom>
        <vertical/>
        <horizontal/>
      </border>
    </dxf>
    <dxf>
      <alignment horizontal="center" vertical="bottom" textRotation="0" wrapText="0" indent="0" justifyLastLine="0" shrinkToFit="0" readingOrder="0"/>
      <border diagonalUp="0" diagonalDown="0">
        <left style="thin">
          <color rgb="FF00B0F0"/>
        </left>
        <right style="thin">
          <color rgb="FF00B0F0"/>
        </right>
        <top style="thin">
          <color rgb="FF00B0F0"/>
        </top>
        <bottom style="thin">
          <color rgb="FF00B0F0"/>
        </bottom>
        <vertical/>
        <horizontal/>
      </border>
    </dxf>
    <dxf>
      <numFmt numFmtId="19" formatCode="dd/mm/yyyy"/>
      <alignment horizontal="center" vertical="bottom" textRotation="0" wrapText="0" indent="0" justifyLastLine="0" shrinkToFit="0" readingOrder="0"/>
      <border diagonalUp="0" diagonalDown="0">
        <left style="thin">
          <color rgb="FF00B0F0"/>
        </left>
        <right style="thin">
          <color rgb="FF00B0F0"/>
        </right>
        <top style="thin">
          <color rgb="FF00B0F0"/>
        </top>
        <bottom style="thin">
          <color rgb="FF00B0F0"/>
        </bottom>
        <vertical/>
        <horizontal/>
      </border>
    </dxf>
    <dxf>
      <numFmt numFmtId="19" formatCode="dd/mm/yyyy"/>
      <alignment horizontal="center" vertical="bottom" textRotation="0" wrapText="0" indent="0" justifyLastLine="0" shrinkToFit="0" readingOrder="0"/>
      <border diagonalUp="0" diagonalDown="0">
        <left style="thin">
          <color rgb="FF00B0F0"/>
        </left>
        <right style="thin">
          <color rgb="FF00B0F0"/>
        </right>
        <top style="thin">
          <color rgb="FF00B0F0"/>
        </top>
        <bottom style="thin">
          <color rgb="FF00B0F0"/>
        </bottom>
        <vertical/>
        <horizontal/>
      </border>
    </dxf>
    <dxf>
      <alignment horizontal="center" vertical="center" textRotation="0" wrapText="0" indent="0" justifyLastLine="0" shrinkToFit="0" readingOrder="0"/>
      <border diagonalUp="0" diagonalDown="0" outline="0">
        <left/>
        <right style="thin">
          <color rgb="FF00B0F0"/>
        </right>
        <top style="thin">
          <color rgb="FF00B0F0"/>
        </top>
        <bottom style="thin">
          <color rgb="FF00B0F0"/>
        </bottom>
      </border>
    </dxf>
    <dxf>
      <border outline="0">
        <top style="thin">
          <color rgb="FF00B0F0"/>
        </top>
      </border>
    </dxf>
    <dxf>
      <border outline="0">
        <left style="thin">
          <color rgb="FF00B0F0"/>
        </left>
        <right style="thin">
          <color rgb="FF00B0F0"/>
        </right>
        <top style="thin">
          <color rgb="FF00B0F0"/>
        </top>
        <bottom style="thin">
          <color rgb="FF00B0F0"/>
        </bottom>
      </border>
    </dxf>
    <dxf>
      <alignment horizontal="center" vertical="bottom" textRotation="0" wrapText="0" indent="0" justifyLastLine="0" shrinkToFit="0" readingOrder="0"/>
    </dxf>
    <dxf>
      <border outline="0">
        <bottom style="thin">
          <color rgb="FF00B0F0"/>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rgb="FF00B0F0"/>
        </left>
        <right style="thin">
          <color rgb="FF00B0F0"/>
        </right>
        <top/>
        <bottom/>
      </bord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s>
  <tableStyles count="0" defaultTableStyle="TableStyleMedium2" defaultPivotStyle="PivotStyleLight16"/>
  <colors>
    <mruColors>
      <color rgb="FF66FF33"/>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onnections" Target="connection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5" Type="http://schemas.openxmlformats.org/officeDocument/2006/relationships/powerPivotData" Target="model/item.data"/><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[MOVIE.BO.ANALYSIS.xlsx]PIVOT TABLES!PivotTable1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62237686819864"/>
          <c:y val="0.23206320831937749"/>
          <c:w val="0.72856692913385823"/>
          <c:h val="0.29433982210557014"/>
        </c:manualLayout>
      </c:layout>
      <c:barChart>
        <c:barDir val="col"/>
        <c:grouping val="clustered"/>
        <c:varyColors val="0"/>
        <c:ser>
          <c:idx val="0"/>
          <c:order val="0"/>
          <c:tx>
            <c:strRef>
              <c:f>'PIVOT TABLES'!$Q$3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TABLES'!$P$4:$P$21</c:f>
              <c:strCache>
                <c:ptCount val="17"/>
                <c:pt idx="0">
                  <c:v>12th Fail</c:v>
                </c:pt>
                <c:pt idx="1">
                  <c:v>Andhadhun</c:v>
                </c:pt>
                <c:pt idx="2">
                  <c:v>Animal</c:v>
                </c:pt>
                <c:pt idx="3">
                  <c:v>Bhediya</c:v>
                </c:pt>
                <c:pt idx="4">
                  <c:v>Bramayugam</c:v>
                </c:pt>
                <c:pt idx="5">
                  <c:v>Chhaava</c:v>
                </c:pt>
                <c:pt idx="6">
                  <c:v>Drishyam 2</c:v>
                </c:pt>
                <c:pt idx="7">
                  <c:v>Kalki 2898 AD</c:v>
                </c:pt>
                <c:pt idx="8">
                  <c:v>Kantara</c:v>
                </c:pt>
                <c:pt idx="9">
                  <c:v>Kill</c:v>
                </c:pt>
                <c:pt idx="10">
                  <c:v>Lokah Chapter 1</c:v>
                </c:pt>
                <c:pt idx="11">
                  <c:v>Saiyaara</c:v>
                </c:pt>
                <c:pt idx="12">
                  <c:v>Sam Bahadur</c:v>
                </c:pt>
                <c:pt idx="13">
                  <c:v>Super 30</c:v>
                </c:pt>
                <c:pt idx="14">
                  <c:v>The Kashmir Files</c:v>
                </c:pt>
                <c:pt idx="15">
                  <c:v>Tumbbad</c:v>
                </c:pt>
                <c:pt idx="16">
                  <c:v>Vikram</c:v>
                </c:pt>
              </c:strCache>
            </c:strRef>
          </c:cat>
          <c:val>
            <c:numRef>
              <c:f>'PIVOT TABLES'!$Q$4:$Q$21</c:f>
              <c:numCache>
                <c:formatCode>0\ "CR"</c:formatCode>
                <c:ptCount val="17"/>
                <c:pt idx="0">
                  <c:v>70</c:v>
                </c:pt>
                <c:pt idx="1">
                  <c:v>456</c:v>
                </c:pt>
                <c:pt idx="2">
                  <c:v>815</c:v>
                </c:pt>
                <c:pt idx="3">
                  <c:v>90</c:v>
                </c:pt>
                <c:pt idx="4">
                  <c:v>55</c:v>
                </c:pt>
                <c:pt idx="5">
                  <c:v>700</c:v>
                </c:pt>
                <c:pt idx="6">
                  <c:v>319</c:v>
                </c:pt>
                <c:pt idx="7">
                  <c:v>1075</c:v>
                </c:pt>
                <c:pt idx="8">
                  <c:v>400</c:v>
                </c:pt>
                <c:pt idx="9">
                  <c:v>47</c:v>
                </c:pt>
                <c:pt idx="10">
                  <c:v>280</c:v>
                </c:pt>
                <c:pt idx="11">
                  <c:v>580</c:v>
                </c:pt>
                <c:pt idx="12">
                  <c:v>111</c:v>
                </c:pt>
                <c:pt idx="13">
                  <c:v>185</c:v>
                </c:pt>
                <c:pt idx="14">
                  <c:v>300</c:v>
                </c:pt>
                <c:pt idx="15">
                  <c:v>38</c:v>
                </c:pt>
                <c:pt idx="16">
                  <c:v>400</c:v>
                </c:pt>
              </c:numCache>
            </c:numRef>
          </c:val>
          <c:extLst>
            <c:ext xmlns:c16="http://schemas.microsoft.com/office/drawing/2014/chart" uri="{C3380CC4-5D6E-409C-BE32-E72D297353CC}">
              <c16:uniqueId val="{00000000-E383-444A-87BA-44A1A6162688}"/>
            </c:ext>
          </c:extLst>
        </c:ser>
        <c:dLbls>
          <c:dLblPos val="outEnd"/>
          <c:showLegendKey val="0"/>
          <c:showVal val="1"/>
          <c:showCatName val="0"/>
          <c:showSerName val="0"/>
          <c:showPercent val="0"/>
          <c:showBubbleSize val="0"/>
        </c:dLbls>
        <c:gapWidth val="219"/>
        <c:overlap val="-27"/>
        <c:axId val="640487055"/>
        <c:axId val="640474575"/>
      </c:barChart>
      <c:catAx>
        <c:axId val="640487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MOVIE</a:t>
                </a:r>
                <a:r>
                  <a:rPr lang="en-IN" baseline="0"/>
                  <a:t> NAME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474575"/>
        <c:crosses val="autoZero"/>
        <c:auto val="1"/>
        <c:lblAlgn val="ctr"/>
        <c:lblOffset val="100"/>
        <c:noMultiLvlLbl val="0"/>
      </c:catAx>
      <c:valAx>
        <c:axId val="6404745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WORLDWIDE</a:t>
                </a:r>
                <a:r>
                  <a:rPr lang="en-IN" baseline="0"/>
                  <a:t> GROSS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quot;CR&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487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[MOVIE.BO.ANALYSIS.xlsx]PIVOT TABLES!PivotTable5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TABLES'!$G$4:$G$8</c:f>
              <c:strCache>
                <c:ptCount val="5"/>
                <c:pt idx="0">
                  <c:v>Hindi</c:v>
                </c:pt>
                <c:pt idx="1">
                  <c:v>Kannada</c:v>
                </c:pt>
                <c:pt idx="2">
                  <c:v>Malyalam</c:v>
                </c:pt>
                <c:pt idx="3">
                  <c:v>Tamil</c:v>
                </c:pt>
                <c:pt idx="4">
                  <c:v>Telegu</c:v>
                </c:pt>
              </c:strCache>
            </c:strRef>
          </c:cat>
          <c:val>
            <c:numRef>
              <c:f>'PIVOT TABLES'!$H$4:$H$8</c:f>
              <c:numCache>
                <c:formatCode>0.00%</c:formatCode>
                <c:ptCount val="5"/>
                <c:pt idx="0">
                  <c:v>5.4378114478114483</c:v>
                </c:pt>
                <c:pt idx="1">
                  <c:v>24</c:v>
                </c:pt>
                <c:pt idx="2">
                  <c:v>4.6488095238095237</c:v>
                </c:pt>
                <c:pt idx="3">
                  <c:v>2.0769230769230771</c:v>
                </c:pt>
                <c:pt idx="4">
                  <c:v>0.79166666666666663</c:v>
                </c:pt>
              </c:numCache>
            </c:numRef>
          </c:val>
          <c:extLst>
            <c:ext xmlns:c16="http://schemas.microsoft.com/office/drawing/2014/chart" uri="{C3380CC4-5D6E-409C-BE32-E72D297353CC}">
              <c16:uniqueId val="{00000000-F027-446F-BDF2-20A47FBD99B4}"/>
            </c:ext>
          </c:extLst>
        </c:ser>
        <c:dLbls>
          <c:dLblPos val="outEnd"/>
          <c:showLegendKey val="0"/>
          <c:showVal val="1"/>
          <c:showCatName val="0"/>
          <c:showSerName val="0"/>
          <c:showPercent val="0"/>
          <c:showBubbleSize val="0"/>
        </c:dLbls>
        <c:gapWidth val="219"/>
        <c:overlap val="-27"/>
        <c:axId val="548690527"/>
        <c:axId val="548691487"/>
      </c:barChart>
      <c:catAx>
        <c:axId val="548690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LANGUAGE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691487"/>
        <c:crosses val="autoZero"/>
        <c:auto val="1"/>
        <c:lblAlgn val="ctr"/>
        <c:lblOffset val="100"/>
        <c:noMultiLvlLbl val="0"/>
      </c:catAx>
      <c:valAx>
        <c:axId val="5486914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ROI</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690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12</xdr:col>
      <xdr:colOff>554082</xdr:colOff>
      <xdr:row>3</xdr:row>
      <xdr:rowOff>144781</xdr:rowOff>
    </xdr:from>
    <xdr:to>
      <xdr:col>15</xdr:col>
      <xdr:colOff>517071</xdr:colOff>
      <xdr:row>13</xdr:row>
      <xdr:rowOff>27215</xdr:rowOff>
    </xdr:to>
    <mc:AlternateContent xmlns:mc="http://schemas.openxmlformats.org/markup-compatibility/2006" xmlns:sle15="http://schemas.microsoft.com/office/drawing/2012/slicer">
      <mc:Choice Requires="sle15">
        <xdr:graphicFrame macro="">
          <xdr:nvGraphicFramePr>
            <xdr:cNvPr id="5" name="LANGUAGE">
              <a:extLst>
                <a:ext uri="{FF2B5EF4-FFF2-40B4-BE49-F238E27FC236}">
                  <a16:creationId xmlns:a16="http://schemas.microsoft.com/office/drawing/2014/main" id="{239D1A5D-4120-91A6-A644-0EE5DEFF7CE8}"/>
                </a:ext>
              </a:extLst>
            </xdr:cNvPr>
            <xdr:cNvGraphicFramePr/>
          </xdr:nvGraphicFramePr>
          <xdr:xfrm>
            <a:off x="0" y="0"/>
            <a:ext cx="0" cy="0"/>
          </xdr:xfrm>
          <a:graphic>
            <a:graphicData uri="http://schemas.microsoft.com/office/drawing/2010/slicer">
              <sle:slicer xmlns:sle="http://schemas.microsoft.com/office/drawing/2010/slicer" name="LANGUAGE"/>
            </a:graphicData>
          </a:graphic>
        </xdr:graphicFrame>
      </mc:Choice>
      <mc:Fallback xmlns="">
        <xdr:sp macro="" textlink="">
          <xdr:nvSpPr>
            <xdr:cNvPr id="0" name=""/>
            <xdr:cNvSpPr>
              <a:spLocks noTextEdit="1"/>
            </xdr:cNvSpPr>
          </xdr:nvSpPr>
          <xdr:spPr>
            <a:xfrm>
              <a:off x="12891225" y="689067"/>
              <a:ext cx="1786346" cy="16967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570774</xdr:colOff>
      <xdr:row>4</xdr:row>
      <xdr:rowOff>0</xdr:rowOff>
    </xdr:from>
    <xdr:to>
      <xdr:col>12</xdr:col>
      <xdr:colOff>390071</xdr:colOff>
      <xdr:row>13</xdr:row>
      <xdr:rowOff>90714</xdr:rowOff>
    </xdr:to>
    <mc:AlternateContent xmlns:mc="http://schemas.openxmlformats.org/markup-compatibility/2006" xmlns:sle15="http://schemas.microsoft.com/office/drawing/2012/slicer">
      <mc:Choice Requires="sle15">
        <xdr:graphicFrame macro="">
          <xdr:nvGraphicFramePr>
            <xdr:cNvPr id="7" name="VERDICT">
              <a:extLst>
                <a:ext uri="{FF2B5EF4-FFF2-40B4-BE49-F238E27FC236}">
                  <a16:creationId xmlns:a16="http://schemas.microsoft.com/office/drawing/2014/main" id="{FB83425A-F0CE-0534-1699-44D45738C39A}"/>
                </a:ext>
              </a:extLst>
            </xdr:cNvPr>
            <xdr:cNvGraphicFramePr/>
          </xdr:nvGraphicFramePr>
          <xdr:xfrm>
            <a:off x="0" y="0"/>
            <a:ext cx="0" cy="0"/>
          </xdr:xfrm>
          <a:graphic>
            <a:graphicData uri="http://schemas.microsoft.com/office/drawing/2010/slicer">
              <sle:slicer xmlns:sle="http://schemas.microsoft.com/office/drawing/2010/slicer" name="VERDICT"/>
            </a:graphicData>
          </a:graphic>
        </xdr:graphicFrame>
      </mc:Choice>
      <mc:Fallback xmlns="">
        <xdr:sp macro="" textlink="">
          <xdr:nvSpPr>
            <xdr:cNvPr id="0" name=""/>
            <xdr:cNvSpPr>
              <a:spLocks noTextEdit="1"/>
            </xdr:cNvSpPr>
          </xdr:nvSpPr>
          <xdr:spPr>
            <a:xfrm>
              <a:off x="11084560" y="726441"/>
              <a:ext cx="1642654" cy="1722844"/>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715554</xdr:colOff>
      <xdr:row>3</xdr:row>
      <xdr:rowOff>124458</xdr:rowOff>
    </xdr:from>
    <xdr:to>
      <xdr:col>18</xdr:col>
      <xdr:colOff>267425</xdr:colOff>
      <xdr:row>14</xdr:row>
      <xdr:rowOff>72571</xdr:rowOff>
    </xdr:to>
    <mc:AlternateContent xmlns:mc="http://schemas.openxmlformats.org/markup-compatibility/2006" xmlns:sle15="http://schemas.microsoft.com/office/drawing/2012/slicer">
      <mc:Choice Requires="sle15">
        <xdr:graphicFrame macro="">
          <xdr:nvGraphicFramePr>
            <xdr:cNvPr id="9" name="RELEASE YEAR">
              <a:extLst>
                <a:ext uri="{FF2B5EF4-FFF2-40B4-BE49-F238E27FC236}">
                  <a16:creationId xmlns:a16="http://schemas.microsoft.com/office/drawing/2014/main" id="{5A73A41F-4632-D52B-32DD-DB754A8485ED}"/>
                </a:ext>
              </a:extLst>
            </xdr:cNvPr>
            <xdr:cNvGraphicFramePr/>
          </xdr:nvGraphicFramePr>
          <xdr:xfrm>
            <a:off x="0" y="0"/>
            <a:ext cx="0" cy="0"/>
          </xdr:xfrm>
          <a:graphic>
            <a:graphicData uri="http://schemas.microsoft.com/office/drawing/2010/slicer">
              <sle:slicer xmlns:sle="http://schemas.microsoft.com/office/drawing/2010/slicer" name="RELEASE YEAR"/>
            </a:graphicData>
          </a:graphic>
        </xdr:graphicFrame>
      </mc:Choice>
      <mc:Fallback xmlns="">
        <xdr:sp macro="" textlink="">
          <xdr:nvSpPr>
            <xdr:cNvPr id="0" name=""/>
            <xdr:cNvSpPr>
              <a:spLocks noTextEdit="1"/>
            </xdr:cNvSpPr>
          </xdr:nvSpPr>
          <xdr:spPr>
            <a:xfrm>
              <a:off x="14876054" y="668744"/>
              <a:ext cx="1828800" cy="1943827"/>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14</xdr:col>
      <xdr:colOff>581026</xdr:colOff>
      <xdr:row>0</xdr:row>
      <xdr:rowOff>0</xdr:rowOff>
    </xdr:from>
    <xdr:to>
      <xdr:col>26</xdr:col>
      <xdr:colOff>164450</xdr:colOff>
      <xdr:row>22</xdr:row>
      <xdr:rowOff>47625</xdr:rowOff>
    </xdr:to>
    <xdr:graphicFrame macro="">
      <xdr:nvGraphicFramePr>
        <xdr:cNvPr id="2" name="Chart 1">
          <a:extLst>
            <a:ext uri="{FF2B5EF4-FFF2-40B4-BE49-F238E27FC236}">
              <a16:creationId xmlns:a16="http://schemas.microsoft.com/office/drawing/2014/main" id="{95B9BAA4-0B90-4457-B4EF-E9C595C196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246861</xdr:colOff>
      <xdr:row>0</xdr:row>
      <xdr:rowOff>56360</xdr:rowOff>
    </xdr:from>
    <xdr:to>
      <xdr:col>10</xdr:col>
      <xdr:colOff>246861</xdr:colOff>
      <xdr:row>10</xdr:row>
      <xdr:rowOff>102451</xdr:rowOff>
    </xdr:to>
    <mc:AlternateContent xmlns:mc="http://schemas.openxmlformats.org/markup-compatibility/2006" xmlns:a14="http://schemas.microsoft.com/office/drawing/2010/main">
      <mc:Choice Requires="a14">
        <xdr:graphicFrame macro="">
          <xdr:nvGraphicFramePr>
            <xdr:cNvPr id="3" name="Years (RELEASE DATE)">
              <a:extLst>
                <a:ext uri="{FF2B5EF4-FFF2-40B4-BE49-F238E27FC236}">
                  <a16:creationId xmlns:a16="http://schemas.microsoft.com/office/drawing/2014/main" id="{AC26F194-F29D-47A7-BE84-B0A0DB4F2012}"/>
                </a:ext>
              </a:extLst>
            </xdr:cNvPr>
            <xdr:cNvGraphicFramePr/>
          </xdr:nvGraphicFramePr>
          <xdr:xfrm>
            <a:off x="0" y="0"/>
            <a:ext cx="0" cy="0"/>
          </xdr:xfrm>
          <a:graphic>
            <a:graphicData uri="http://schemas.microsoft.com/office/drawing/2010/slicer">
              <sle:slicer xmlns:sle="http://schemas.microsoft.com/office/drawing/2010/slicer" name="Years (RELEASE DATE)"/>
            </a:graphicData>
          </a:graphic>
        </xdr:graphicFrame>
      </mc:Choice>
      <mc:Fallback xmlns="">
        <xdr:sp macro="" textlink="">
          <xdr:nvSpPr>
            <xdr:cNvPr id="0" name=""/>
            <xdr:cNvSpPr>
              <a:spLocks noTextEdit="1"/>
            </xdr:cNvSpPr>
          </xdr:nvSpPr>
          <xdr:spPr>
            <a:xfrm>
              <a:off x="4514061" y="56360"/>
              <a:ext cx="1828800" cy="18558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181115</xdr:colOff>
      <xdr:row>20</xdr:row>
      <xdr:rowOff>83542</xdr:rowOff>
    </xdr:from>
    <xdr:to>
      <xdr:col>10</xdr:col>
      <xdr:colOff>181115</xdr:colOff>
      <xdr:row>29</xdr:row>
      <xdr:rowOff>136883</xdr:rowOff>
    </xdr:to>
    <mc:AlternateContent xmlns:mc="http://schemas.openxmlformats.org/markup-compatibility/2006" xmlns:a14="http://schemas.microsoft.com/office/drawing/2010/main">
      <mc:Choice Requires="a14">
        <xdr:graphicFrame macro="">
          <xdr:nvGraphicFramePr>
            <xdr:cNvPr id="4" name="VERDICT 1">
              <a:extLst>
                <a:ext uri="{FF2B5EF4-FFF2-40B4-BE49-F238E27FC236}">
                  <a16:creationId xmlns:a16="http://schemas.microsoft.com/office/drawing/2014/main" id="{897273DC-0E4D-425A-9FE9-6FD0519D8256}"/>
                </a:ext>
              </a:extLst>
            </xdr:cNvPr>
            <xdr:cNvGraphicFramePr/>
          </xdr:nvGraphicFramePr>
          <xdr:xfrm>
            <a:off x="0" y="0"/>
            <a:ext cx="0" cy="0"/>
          </xdr:xfrm>
          <a:graphic>
            <a:graphicData uri="http://schemas.microsoft.com/office/drawing/2010/slicer">
              <sle:slicer xmlns:sle="http://schemas.microsoft.com/office/drawing/2010/slicer" name="VERDICT 1"/>
            </a:graphicData>
          </a:graphic>
        </xdr:graphicFrame>
      </mc:Choice>
      <mc:Fallback xmlns="">
        <xdr:sp macro="" textlink="">
          <xdr:nvSpPr>
            <xdr:cNvPr id="0" name=""/>
            <xdr:cNvSpPr>
              <a:spLocks noTextEdit="1"/>
            </xdr:cNvSpPr>
          </xdr:nvSpPr>
          <xdr:spPr>
            <a:xfrm>
              <a:off x="4448315" y="3703042"/>
              <a:ext cx="1828800" cy="16821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232085</xdr:colOff>
      <xdr:row>11</xdr:row>
      <xdr:rowOff>17423</xdr:rowOff>
    </xdr:from>
    <xdr:to>
      <xdr:col>10</xdr:col>
      <xdr:colOff>232085</xdr:colOff>
      <xdr:row>19</xdr:row>
      <xdr:rowOff>142643</xdr:rowOff>
    </xdr:to>
    <mc:AlternateContent xmlns:mc="http://schemas.openxmlformats.org/markup-compatibility/2006" xmlns:a14="http://schemas.microsoft.com/office/drawing/2010/main">
      <mc:Choice Requires="a14">
        <xdr:graphicFrame macro="">
          <xdr:nvGraphicFramePr>
            <xdr:cNvPr id="5" name="LANGUAGE 1">
              <a:extLst>
                <a:ext uri="{FF2B5EF4-FFF2-40B4-BE49-F238E27FC236}">
                  <a16:creationId xmlns:a16="http://schemas.microsoft.com/office/drawing/2014/main" id="{B8A5EA50-F8BA-4F11-A9D1-3931FA064E79}"/>
                </a:ext>
              </a:extLst>
            </xdr:cNvPr>
            <xdr:cNvGraphicFramePr/>
          </xdr:nvGraphicFramePr>
          <xdr:xfrm>
            <a:off x="0" y="0"/>
            <a:ext cx="0" cy="0"/>
          </xdr:xfrm>
          <a:graphic>
            <a:graphicData uri="http://schemas.microsoft.com/office/drawing/2010/slicer">
              <sle:slicer xmlns:sle="http://schemas.microsoft.com/office/drawing/2010/slicer" name="LANGUAGE 1"/>
            </a:graphicData>
          </a:graphic>
        </xdr:graphicFrame>
      </mc:Choice>
      <mc:Fallback xmlns="">
        <xdr:sp macro="" textlink="">
          <xdr:nvSpPr>
            <xdr:cNvPr id="0" name=""/>
            <xdr:cNvSpPr>
              <a:spLocks noTextEdit="1"/>
            </xdr:cNvSpPr>
          </xdr:nvSpPr>
          <xdr:spPr>
            <a:xfrm>
              <a:off x="4499285" y="2008148"/>
              <a:ext cx="1828800" cy="1573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19</xdr:col>
      <xdr:colOff>289560</xdr:colOff>
      <xdr:row>8</xdr:row>
      <xdr:rowOff>175260</xdr:rowOff>
    </xdr:from>
    <xdr:ext cx="1783080" cy="973220"/>
    <xdr:sp macro="" textlink="">
      <xdr:nvSpPr>
        <xdr:cNvPr id="7" name="TextBox 6">
          <a:extLst>
            <a:ext uri="{FF2B5EF4-FFF2-40B4-BE49-F238E27FC236}">
              <a16:creationId xmlns:a16="http://schemas.microsoft.com/office/drawing/2014/main" id="{C98F64E9-81C5-E089-75F9-18DD908CFEA1}"/>
            </a:ext>
          </a:extLst>
        </xdr:cNvPr>
        <xdr:cNvSpPr txBox="1"/>
      </xdr:nvSpPr>
      <xdr:spPr>
        <a:xfrm>
          <a:off x="11871960" y="1638300"/>
          <a:ext cx="1783080" cy="9732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xdr:txBody>
    </xdr:sp>
    <xdr:clientData/>
  </xdr:oneCellAnchor>
  <xdr:oneCellAnchor>
    <xdr:from>
      <xdr:col>11</xdr:col>
      <xdr:colOff>150495</xdr:colOff>
      <xdr:row>1</xdr:row>
      <xdr:rowOff>36195</xdr:rowOff>
    </xdr:from>
    <xdr:ext cx="2430780" cy="1836420"/>
    <xdr:sp macro="" textlink="">
      <xdr:nvSpPr>
        <xdr:cNvPr id="8" name="TextBox 7">
          <a:extLst>
            <a:ext uri="{FF2B5EF4-FFF2-40B4-BE49-F238E27FC236}">
              <a16:creationId xmlns:a16="http://schemas.microsoft.com/office/drawing/2014/main" id="{EE7DF4E4-319A-4A6F-3279-8CBD82AB4EA0}"/>
            </a:ext>
          </a:extLst>
        </xdr:cNvPr>
        <xdr:cNvSpPr txBox="1"/>
      </xdr:nvSpPr>
      <xdr:spPr>
        <a:xfrm>
          <a:off x="6856095" y="217170"/>
          <a:ext cx="2430780" cy="18364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t>Key Insights:</a:t>
          </a:r>
        </a:p>
        <a:p>
          <a:r>
            <a:rPr lang="en-IN" sz="1100"/>
            <a:t>• Low-budget films like Kantara and Andhadhun delivered extremely high ROI.</a:t>
          </a:r>
        </a:p>
        <a:p>
          <a:endParaRPr lang="en-IN" sz="1100"/>
        </a:p>
        <a:p>
          <a:r>
            <a:rPr lang="en-IN" sz="1100"/>
            <a:t>• Kannada and Malayalam films show better ROI compared to Hindi films.</a:t>
          </a:r>
        </a:p>
        <a:p>
          <a:endParaRPr lang="en-IN" sz="1100"/>
        </a:p>
        <a:p>
          <a:r>
            <a:rPr lang="en-IN" sz="1100"/>
            <a:t>• Big-budget films carry higher risk despite high collections.</a:t>
          </a:r>
        </a:p>
        <a:p>
          <a:endParaRPr lang="en-IN" sz="1100"/>
        </a:p>
        <a:p>
          <a:endParaRPr lang="en-IN" sz="1100"/>
        </a:p>
      </xdr:txBody>
    </xdr:sp>
    <xdr:clientData/>
  </xdr:oneCellAnchor>
  <xdr:twoCellAnchor>
    <xdr:from>
      <xdr:col>10</xdr:col>
      <xdr:colOff>208380</xdr:colOff>
      <xdr:row>22</xdr:row>
      <xdr:rowOff>89568</xdr:rowOff>
    </xdr:from>
    <xdr:to>
      <xdr:col>19</xdr:col>
      <xdr:colOff>261854</xdr:colOff>
      <xdr:row>38</xdr:row>
      <xdr:rowOff>102937</xdr:rowOff>
    </xdr:to>
    <xdr:graphicFrame macro="">
      <xdr:nvGraphicFramePr>
        <xdr:cNvPr id="9" name="Chart 8">
          <a:extLst>
            <a:ext uri="{FF2B5EF4-FFF2-40B4-BE49-F238E27FC236}">
              <a16:creationId xmlns:a16="http://schemas.microsoft.com/office/drawing/2014/main" id="{CCDA8F07-B674-4580-89E1-AD2CFA2943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05.042343749999" createdVersion="8" refreshedVersion="8" minRefreshableVersion="3" recordCount="17" xr:uid="{67B818DD-6E89-424B-BC56-6E8FAC1C6647}">
  <cacheSource type="worksheet">
    <worksheetSource name="Table1"/>
  </cacheSource>
  <cacheFields count="11">
    <cacheField name="MOVIE NAME" numFmtId="0">
      <sharedItems count="17">
        <s v="Drishyam 2"/>
        <s v="12th Fail"/>
        <s v="Andhadhun"/>
        <s v="Kantara"/>
        <s v="Lokah Chapter 1"/>
        <s v="Tumbbad"/>
        <s v="Kill"/>
        <s v="The Kashmir Files"/>
        <s v="Kalki 2898 AD"/>
        <s v="Super 30"/>
        <s v="Sam Bahadur"/>
        <s v="Chhaava"/>
        <s v="Saiyaara"/>
        <s v="Vikram"/>
        <s v="Bramayugam"/>
        <s v="Animal"/>
        <s v="Bhediya"/>
      </sharedItems>
    </cacheField>
    <cacheField name="RELEASE DATE" numFmtId="14">
      <sharedItems containsSemiMixedTypes="0" containsNonDate="0" containsDate="1" containsString="0" minDate="2018-10-05T00:00:00" maxDate="2025-08-29T00:00:00" count="16">
        <d v="2022-11-18T00:00:00"/>
        <d v="2023-10-27T00:00:00"/>
        <d v="2018-10-05T00:00:00"/>
        <d v="2022-09-30T00:00:00"/>
        <d v="2025-08-28T00:00:00"/>
        <d v="2018-10-12T00:00:00"/>
        <d v="2024-07-05T00:00:00"/>
        <d v="2022-03-11T00:00:00"/>
        <d v="2024-06-27T00:00:00"/>
        <d v="2019-07-12T00:00:00"/>
        <d v="2023-12-01T00:00:00"/>
        <d v="2025-02-14T00:00:00"/>
        <d v="2025-07-18T00:00:00"/>
        <d v="2022-06-03T00:00:00"/>
        <d v="2024-02-15T00:00:00"/>
        <d v="2022-11-24T00:00:00"/>
      </sharedItems>
      <fieldGroup par="10"/>
    </cacheField>
    <cacheField name="GENRE" numFmtId="0">
      <sharedItems count="15">
        <s v="Thriller/Mystery"/>
        <s v="Drama/Biography"/>
        <s v="Crime/Thriller/Mystery"/>
        <s v="Action/Thriller/Mythology"/>
        <s v="Fantasy/Adventure"/>
        <s v="Horror/Fantasy"/>
        <s v="Action/Thriller"/>
        <s v="Drama/History"/>
        <s v="Sci-fi/Action"/>
        <s v="War/Biography"/>
        <s v="Drama"/>
        <s v="Romance/Drama/Musical"/>
        <s v="Horror/Drama"/>
        <s v="Action/Crime"/>
        <s v="Horror/Comedy/Fantasy"/>
      </sharedItems>
    </cacheField>
    <cacheField name="LANGUAGE" numFmtId="0">
      <sharedItems count="5">
        <s v="Hindi"/>
        <s v="Kannada"/>
        <s v="Malyalam"/>
        <s v="Telegu"/>
        <s v="Tamil"/>
      </sharedItems>
    </cacheField>
    <cacheField name="BUDGET" numFmtId="164">
      <sharedItems containsSemiMixedTypes="0" containsString="0" containsNumber="1" containsInteger="1" minValue="15" maxValue="600"/>
    </cacheField>
    <cacheField name="TOTAL NET COLLECTION" numFmtId="164">
      <sharedItems containsSemiMixedTypes="0" containsString="0" containsNumber="1" containsInteger="1" minValue="38" maxValue="1075"/>
    </cacheField>
    <cacheField name="ROI" numFmtId="10">
      <sharedItems containsSemiMixedTypes="0" containsString="0" containsNumber="1" minValue="0.5" maxValue="24"/>
    </cacheField>
    <cacheField name="VERDICT" numFmtId="0">
      <sharedItems count="5">
        <s v="BLOCKBUSTER"/>
        <s v="SUPER HIT"/>
        <s v="HIT"/>
        <s v="AVERAGE"/>
        <s v="FLOP"/>
      </sharedItems>
    </cacheField>
    <cacheField name="Months (RELEASE DATE)" numFmtId="0" databaseField="0">
      <fieldGroup base="1">
        <rangePr groupBy="months" startDate="2018-10-05T00:00:00" endDate="2025-08-29T00:00:00"/>
        <groupItems count="14">
          <s v="&lt;05-10-2018"/>
          <s v="Jan"/>
          <s v="Feb"/>
          <s v="Mar"/>
          <s v="Apr"/>
          <s v="May"/>
          <s v="Jun"/>
          <s v="Jul"/>
          <s v="Aug"/>
          <s v="Sep"/>
          <s v="Oct"/>
          <s v="Nov"/>
          <s v="Dec"/>
          <s v="&gt;29-08-2025"/>
        </groupItems>
      </fieldGroup>
    </cacheField>
    <cacheField name="Quarters (RELEASE DATE)" numFmtId="0" databaseField="0">
      <fieldGroup base="1">
        <rangePr groupBy="quarters" startDate="2018-10-05T00:00:00" endDate="2025-08-29T00:00:00"/>
        <groupItems count="6">
          <s v="&lt;05-10-2018"/>
          <s v="Qtr1"/>
          <s v="Qtr2"/>
          <s v="Qtr3"/>
          <s v="Qtr4"/>
          <s v="&gt;29-08-2025"/>
        </groupItems>
      </fieldGroup>
    </cacheField>
    <cacheField name="Years (RELEASE DATE)" numFmtId="0" databaseField="0">
      <fieldGroup base="1">
        <rangePr groupBy="years" startDate="2018-10-05T00:00:00" endDate="2025-08-29T00:00:00"/>
        <groupItems count="10">
          <s v="&lt;05-10-2018"/>
          <s v="2018"/>
          <s v="2019"/>
          <s v="2020"/>
          <s v="2021"/>
          <s v="2022"/>
          <s v="2023"/>
          <s v="2024"/>
          <s v="2025"/>
          <s v="&gt;29-08-2025"/>
        </groupItems>
      </fieldGroup>
    </cacheField>
  </cacheFields>
  <extLst>
    <ext xmlns:x14="http://schemas.microsoft.com/office/spreadsheetml/2009/9/main" uri="{725AE2AE-9491-48be-B2B4-4EB974FC3084}">
      <x14:pivotCacheDefinition pivotCacheId="13810274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x v="0"/>
    <x v="0"/>
    <x v="0"/>
    <x v="0"/>
    <n v="50"/>
    <n v="319"/>
    <n v="5.38"/>
    <x v="0"/>
  </r>
  <r>
    <x v="1"/>
    <x v="1"/>
    <x v="1"/>
    <x v="0"/>
    <n v="20"/>
    <n v="70"/>
    <n v="2.5"/>
    <x v="1"/>
  </r>
  <r>
    <x v="2"/>
    <x v="2"/>
    <x v="2"/>
    <x v="0"/>
    <n v="32"/>
    <n v="456"/>
    <n v="13.25"/>
    <x v="0"/>
  </r>
  <r>
    <x v="3"/>
    <x v="3"/>
    <x v="3"/>
    <x v="1"/>
    <n v="16"/>
    <n v="400"/>
    <n v="24"/>
    <x v="0"/>
  </r>
  <r>
    <x v="4"/>
    <x v="4"/>
    <x v="4"/>
    <x v="2"/>
    <n v="30"/>
    <n v="280"/>
    <n v="8.3333333333333339"/>
    <x v="0"/>
  </r>
  <r>
    <x v="5"/>
    <x v="5"/>
    <x v="5"/>
    <x v="0"/>
    <n v="15"/>
    <n v="38"/>
    <n v="1.5333333333333334"/>
    <x v="1"/>
  </r>
  <r>
    <x v="6"/>
    <x v="6"/>
    <x v="6"/>
    <x v="0"/>
    <n v="20"/>
    <n v="47"/>
    <n v="1.35"/>
    <x v="2"/>
  </r>
  <r>
    <x v="7"/>
    <x v="7"/>
    <x v="7"/>
    <x v="0"/>
    <n v="20"/>
    <n v="300"/>
    <n v="14"/>
    <x v="0"/>
  </r>
  <r>
    <x v="8"/>
    <x v="8"/>
    <x v="8"/>
    <x v="3"/>
    <n v="600"/>
    <n v="1075"/>
    <n v="0.79166666666666663"/>
    <x v="3"/>
  </r>
  <r>
    <x v="9"/>
    <x v="9"/>
    <x v="1"/>
    <x v="0"/>
    <n v="60"/>
    <n v="185"/>
    <n v="2.0833333333333335"/>
    <x v="1"/>
  </r>
  <r>
    <x v="10"/>
    <x v="10"/>
    <x v="9"/>
    <x v="0"/>
    <n v="55"/>
    <n v="111"/>
    <n v="1.0181818181818181"/>
    <x v="2"/>
  </r>
  <r>
    <x v="11"/>
    <x v="11"/>
    <x v="10"/>
    <x v="0"/>
    <n v="125"/>
    <n v="700"/>
    <n v="4.5999999999999996"/>
    <x v="0"/>
  </r>
  <r>
    <x v="12"/>
    <x v="12"/>
    <x v="11"/>
    <x v="0"/>
    <n v="45"/>
    <n v="580"/>
    <n v="11.888888888888889"/>
    <x v="0"/>
  </r>
  <r>
    <x v="13"/>
    <x v="13"/>
    <x v="6"/>
    <x v="4"/>
    <n v="130"/>
    <n v="400"/>
    <n v="2.0769230769230771"/>
    <x v="1"/>
  </r>
  <r>
    <x v="14"/>
    <x v="14"/>
    <x v="12"/>
    <x v="2"/>
    <n v="28"/>
    <n v="55"/>
    <n v="0.9642857142857143"/>
    <x v="3"/>
  </r>
  <r>
    <x v="15"/>
    <x v="10"/>
    <x v="13"/>
    <x v="0"/>
    <n v="100"/>
    <n v="815"/>
    <n v="7.15"/>
    <x v="0"/>
  </r>
  <r>
    <x v="16"/>
    <x v="15"/>
    <x v="14"/>
    <x v="0"/>
    <n v="60"/>
    <n v="90"/>
    <n v="0.5"/>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4E7F7B-99EA-4F31-8AE7-33B9797E6A9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
  <location ref="P3:Q21" firstHeaderRow="1" firstDataRow="1" firstDataCol="1"/>
  <pivotFields count="11">
    <pivotField axis="axisRow" showAll="0">
      <items count="18">
        <item x="1"/>
        <item x="2"/>
        <item x="15"/>
        <item x="16"/>
        <item x="14"/>
        <item x="11"/>
        <item x="0"/>
        <item x="8"/>
        <item x="3"/>
        <item x="6"/>
        <item x="4"/>
        <item x="12"/>
        <item x="10"/>
        <item x="9"/>
        <item x="7"/>
        <item x="5"/>
        <item x="13"/>
        <item t="default"/>
      </items>
    </pivotField>
    <pivotField numFmtId="14" showAll="0">
      <items count="17">
        <item x="2"/>
        <item x="5"/>
        <item x="9"/>
        <item x="7"/>
        <item x="13"/>
        <item x="3"/>
        <item x="0"/>
        <item x="15"/>
        <item x="1"/>
        <item x="10"/>
        <item x="14"/>
        <item x="8"/>
        <item x="6"/>
        <item x="11"/>
        <item x="12"/>
        <item x="4"/>
        <item t="default"/>
      </items>
    </pivotField>
    <pivotField showAll="0"/>
    <pivotField showAll="0">
      <items count="6">
        <item x="0"/>
        <item x="1"/>
        <item x="2"/>
        <item x="4"/>
        <item x="3"/>
        <item t="default"/>
      </items>
    </pivotField>
    <pivotField numFmtId="164" showAll="0"/>
    <pivotField dataField="1" numFmtId="164" showAll="0"/>
    <pivotField numFmtId="10" showAll="0"/>
    <pivotField showAll="0">
      <items count="6">
        <item x="3"/>
        <item x="0"/>
        <item x="4"/>
        <item x="2"/>
        <item x="1"/>
        <item t="default"/>
      </items>
    </pivotField>
    <pivotField showAll="0" defaultSubtotal="0"/>
    <pivotField showAll="0" defaultSubtotal="0"/>
    <pivotField showAll="0" defaultSubtotal="0">
      <items count="10">
        <item x="0"/>
        <item x="1"/>
        <item x="2"/>
        <item x="3"/>
        <item x="4"/>
        <item x="5"/>
        <item x="6"/>
        <item x="7"/>
        <item x="8"/>
        <item x="9"/>
      </items>
    </pivotField>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 TOTAL NET COLLECTION" fld="5" baseField="0" baseItem="0" numFmtId="164"/>
  </dataFields>
  <formats count="10">
    <format dxfId="23">
      <pivotArea outline="0" collapsedLevelsAreSubtotals="1" fieldPosition="0"/>
    </format>
    <format dxfId="22">
      <pivotArea dataOnly="0" labelOnly="1" outline="0" axis="axisValues" fieldPosition="0"/>
    </format>
    <format dxfId="21">
      <pivotArea outline="0" collapsedLevelsAreSubtotals="1" fieldPosition="0"/>
    </format>
    <format dxfId="20">
      <pivotArea dataOnly="0" labelOnly="1" outline="0" axis="axisValues" fieldPosition="0"/>
    </format>
    <format dxfId="19">
      <pivotArea field="0" type="button" dataOnly="0" labelOnly="1" outline="0" axis="axisRow" fieldPosition="0"/>
    </format>
    <format dxfId="18">
      <pivotArea dataOnly="0" labelOnly="1" fieldPosition="0">
        <references count="1">
          <reference field="0" count="0"/>
        </references>
      </pivotArea>
    </format>
    <format dxfId="17">
      <pivotArea dataOnly="0" labelOnly="1" grandRow="1" outline="0" fieldPosition="0"/>
    </format>
    <format dxfId="16">
      <pivotArea field="0" type="button" dataOnly="0" labelOnly="1" outline="0" axis="axisRow" fieldPosition="0"/>
    </format>
    <format dxfId="15">
      <pivotArea dataOnly="0" labelOnly="1" fieldPosition="0">
        <references count="1">
          <reference field="0" count="0"/>
        </references>
      </pivotArea>
    </format>
    <format dxfId="14">
      <pivotArea dataOnly="0" labelOnly="1" grandRow="1" outline="0"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1788F4-A616-4CE6-A67C-7E0E22C4D17F}"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Release year">
  <location ref="D3:E9" firstHeaderRow="1" firstDataRow="1" firstDataCol="1"/>
  <pivotFields count="11">
    <pivotField showAll="0"/>
    <pivotField axis="axisRow" numFmtId="14" showAll="0">
      <items count="17">
        <item x="2"/>
        <item x="5"/>
        <item x="9"/>
        <item x="7"/>
        <item x="13"/>
        <item x="3"/>
        <item x="0"/>
        <item x="15"/>
        <item x="1"/>
        <item x="10"/>
        <item x="14"/>
        <item x="8"/>
        <item x="6"/>
        <item x="11"/>
        <item x="12"/>
        <item x="4"/>
        <item t="default"/>
      </items>
    </pivotField>
    <pivotField showAll="0"/>
    <pivotField showAll="0"/>
    <pivotField numFmtId="164" showAll="0"/>
    <pivotField dataField="1" numFmtId="164" showAll="0"/>
    <pivotField numFmtId="10"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10">
        <item sd="0" x="0"/>
        <item sd="0" x="1"/>
        <item sd="0" x="2"/>
        <item sd="0" x="3"/>
        <item sd="0" x="4"/>
        <item sd="0" x="5"/>
        <item sd="0" x="6"/>
        <item sd="0" x="7"/>
        <item sd="0" x="8"/>
        <item sd="0" x="9"/>
      </items>
    </pivotField>
  </pivotFields>
  <rowFields count="2">
    <field x="10"/>
    <field x="1"/>
  </rowFields>
  <rowItems count="6">
    <i>
      <x v="1"/>
    </i>
    <i>
      <x v="2"/>
    </i>
    <i>
      <x v="5"/>
    </i>
    <i>
      <x v="6"/>
    </i>
    <i>
      <x v="7"/>
    </i>
    <i>
      <x v="8"/>
    </i>
  </rowItems>
  <colItems count="1">
    <i/>
  </colItems>
  <dataFields count="1">
    <dataField name="total box office" fld="5" baseField="0" baseItem="0" numFmtId="164"/>
  </dataFields>
  <formats count="11">
    <format dxfId="34">
      <pivotArea outline="0" collapsedLevelsAreSubtotals="1" fieldPosition="0"/>
    </format>
    <format dxfId="33">
      <pivotArea dataOnly="0" labelOnly="1" outline="0" axis="axisValues" fieldPosition="0"/>
    </format>
    <format dxfId="32">
      <pivotArea field="10" type="button" dataOnly="0" labelOnly="1" outline="0" axis="axisRow" fieldPosition="0"/>
    </format>
    <format dxfId="31">
      <pivotArea dataOnly="0" labelOnly="1" fieldPosition="0">
        <references count="1">
          <reference field="10" count="6">
            <x v="1"/>
            <x v="2"/>
            <x v="5"/>
            <x v="6"/>
            <x v="7"/>
            <x v="8"/>
          </reference>
        </references>
      </pivotArea>
    </format>
    <format dxfId="30">
      <pivotArea dataOnly="0" labelOnly="1" grandRow="1" outline="0" fieldPosition="0"/>
    </format>
    <format dxfId="29">
      <pivotArea type="all" dataOnly="0" outline="0" fieldPosition="0"/>
    </format>
    <format dxfId="28">
      <pivotArea outline="0" collapsedLevelsAreSubtotals="1" fieldPosition="0"/>
    </format>
    <format dxfId="27">
      <pivotArea field="10" type="button" dataOnly="0" labelOnly="1" outline="0" axis="axisRow" fieldPosition="0"/>
    </format>
    <format dxfId="26">
      <pivotArea dataOnly="0" labelOnly="1" fieldPosition="0">
        <references count="1">
          <reference field="10" count="6">
            <x v="1"/>
            <x v="2"/>
            <x v="5"/>
            <x v="6"/>
            <x v="7"/>
            <x v="8"/>
          </reference>
        </references>
      </pivotArea>
    </format>
    <format dxfId="25">
      <pivotArea dataOnly="0" labelOnly="1" grandRow="1" outline="0" fieldPosition="0"/>
    </format>
    <format dxfId="2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681E1A-6166-41A2-AD8E-1CC1A40D7CC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lease year">
  <location ref="A3:B10" firstHeaderRow="1" firstDataRow="1" firstDataCol="1"/>
  <pivotFields count="11">
    <pivotField dataField="1" showAll="0">
      <items count="18">
        <item x="1"/>
        <item x="2"/>
        <item x="15"/>
        <item x="16"/>
        <item x="14"/>
        <item x="11"/>
        <item x="0"/>
        <item x="8"/>
        <item x="3"/>
        <item x="6"/>
        <item x="4"/>
        <item x="12"/>
        <item x="10"/>
        <item x="9"/>
        <item x="7"/>
        <item x="5"/>
        <item x="13"/>
        <item t="default"/>
      </items>
    </pivotField>
    <pivotField axis="axisRow" numFmtId="14" showAll="0">
      <items count="17">
        <item x="2"/>
        <item x="5"/>
        <item x="9"/>
        <item x="7"/>
        <item x="13"/>
        <item x="3"/>
        <item x="0"/>
        <item x="15"/>
        <item x="1"/>
        <item x="10"/>
        <item x="14"/>
        <item x="8"/>
        <item x="6"/>
        <item x="11"/>
        <item x="12"/>
        <item x="4"/>
        <item t="default"/>
      </items>
    </pivotField>
    <pivotField showAll="0"/>
    <pivotField showAll="0"/>
    <pivotField numFmtId="164" showAll="0"/>
    <pivotField numFmtId="164" showAll="0"/>
    <pivotField numFmtId="10"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1">
        <item sd="0" x="0"/>
        <item sd="0" x="1"/>
        <item sd="0" x="2"/>
        <item sd="0" x="3"/>
        <item sd="0" x="4"/>
        <item sd="0" x="5"/>
        <item sd="0" x="6"/>
        <item sd="0" x="7"/>
        <item sd="0" x="8"/>
        <item sd="0" x="9"/>
        <item t="default"/>
      </items>
    </pivotField>
  </pivotFields>
  <rowFields count="2">
    <field x="10"/>
    <field x="1"/>
  </rowFields>
  <rowItems count="7">
    <i>
      <x v="1"/>
    </i>
    <i>
      <x v="2"/>
    </i>
    <i>
      <x v="5"/>
    </i>
    <i>
      <x v="6"/>
    </i>
    <i>
      <x v="7"/>
    </i>
    <i>
      <x v="8"/>
    </i>
    <i t="grand">
      <x/>
    </i>
  </rowItems>
  <colItems count="1">
    <i/>
  </colItems>
  <dataFields count="1">
    <dataField name="no. of movies" fld="0" subtotal="count" baseField="0" baseItem="0"/>
  </dataFields>
  <formats count="11">
    <format dxfId="45">
      <pivotArea outline="0" collapsedLevelsAreSubtotals="1" fieldPosition="0"/>
    </format>
    <format dxfId="44">
      <pivotArea dataOnly="0" labelOnly="1" outline="0" axis="axisValues" fieldPosition="0"/>
    </format>
    <format dxfId="43">
      <pivotArea field="10" type="button" dataOnly="0" labelOnly="1" outline="0" axis="axisRow" fieldPosition="0"/>
    </format>
    <format dxfId="42">
      <pivotArea dataOnly="0" labelOnly="1" fieldPosition="0">
        <references count="1">
          <reference field="10" count="6">
            <x v="1"/>
            <x v="2"/>
            <x v="5"/>
            <x v="6"/>
            <x v="7"/>
            <x v="8"/>
          </reference>
        </references>
      </pivotArea>
    </format>
    <format dxfId="41">
      <pivotArea dataOnly="0" labelOnly="1" grandRow="1" outline="0" fieldPosition="0"/>
    </format>
    <format dxfId="40">
      <pivotArea type="all" dataOnly="0" outline="0" fieldPosition="0"/>
    </format>
    <format dxfId="39">
      <pivotArea outline="0" collapsedLevelsAreSubtotals="1" fieldPosition="0"/>
    </format>
    <format dxfId="38">
      <pivotArea field="10" type="button" dataOnly="0" labelOnly="1" outline="0" axis="axisRow" fieldPosition="0"/>
    </format>
    <format dxfId="37">
      <pivotArea dataOnly="0" labelOnly="1" fieldPosition="0">
        <references count="1">
          <reference field="10" count="6">
            <x v="1"/>
            <x v="2"/>
            <x v="5"/>
            <x v="6"/>
            <x v="7"/>
            <x v="8"/>
          </reference>
        </references>
      </pivotArea>
    </format>
    <format dxfId="36">
      <pivotArea dataOnly="0" labelOnly="1" grandRow="1" outline="0" fieldPosition="0"/>
    </format>
    <format dxfId="3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976C50-4F27-43AF-A118-ACD2D1E9B252}"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Verdict">
  <location ref="M3:N8" firstHeaderRow="1" firstDataRow="1" firstDataCol="1"/>
  <pivotFields count="11">
    <pivotField dataField="1" showAll="0">
      <items count="18">
        <item x="1"/>
        <item x="2"/>
        <item x="15"/>
        <item x="16"/>
        <item x="14"/>
        <item x="11"/>
        <item x="0"/>
        <item x="8"/>
        <item x="3"/>
        <item x="6"/>
        <item x="4"/>
        <item x="12"/>
        <item x="10"/>
        <item x="9"/>
        <item x="7"/>
        <item x="5"/>
        <item x="13"/>
        <item t="default"/>
      </items>
    </pivotField>
    <pivotField numFmtId="14" showAll="0">
      <items count="17">
        <item x="2"/>
        <item x="5"/>
        <item x="9"/>
        <item x="7"/>
        <item x="13"/>
        <item x="3"/>
        <item x="0"/>
        <item x="15"/>
        <item x="1"/>
        <item x="10"/>
        <item x="14"/>
        <item x="8"/>
        <item x="6"/>
        <item x="11"/>
        <item x="12"/>
        <item x="4"/>
        <item t="default"/>
      </items>
    </pivotField>
    <pivotField showAll="0"/>
    <pivotField showAll="0"/>
    <pivotField numFmtId="164" showAll="0"/>
    <pivotField numFmtId="164" showAll="0"/>
    <pivotField numFmtId="10" showAll="0"/>
    <pivotField axis="axisRow" showAll="0">
      <items count="6">
        <item x="3"/>
        <item x="0"/>
        <item x="4"/>
        <item x="2"/>
        <item x="1"/>
        <item t="default"/>
      </items>
    </pivotField>
    <pivotField showAll="0" defaultSubtotal="0"/>
    <pivotField showAll="0" defaultSubtotal="0"/>
    <pivotField showAll="0" defaultSubtotal="0">
      <items count="10">
        <item x="0"/>
        <item x="1"/>
        <item x="2"/>
        <item x="3"/>
        <item x="4"/>
        <item x="5"/>
        <item x="6"/>
        <item x="7"/>
        <item x="8"/>
        <item x="9"/>
      </items>
    </pivotField>
  </pivotFields>
  <rowFields count="1">
    <field x="7"/>
  </rowFields>
  <rowItems count="5">
    <i>
      <x/>
    </i>
    <i>
      <x v="1"/>
    </i>
    <i>
      <x v="2"/>
    </i>
    <i>
      <x v="3"/>
    </i>
    <i>
      <x v="4"/>
    </i>
  </rowItems>
  <colItems count="1">
    <i/>
  </colItems>
  <dataFields count="1">
    <dataField name="NO.  Of movies" fld="0" subtotal="count" baseField="0" baseItem="0"/>
  </dataFields>
  <formats count="10">
    <format dxfId="55">
      <pivotArea outline="0" collapsedLevelsAreSubtotals="1" fieldPosition="0"/>
    </format>
    <format dxfId="54">
      <pivotArea dataOnly="0" labelOnly="1" outline="0" axis="axisValues" fieldPosition="0"/>
    </format>
    <format dxfId="53">
      <pivotArea field="7" type="button" dataOnly="0" labelOnly="1" outline="0" axis="axisRow" fieldPosition="0"/>
    </format>
    <format dxfId="52">
      <pivotArea dataOnly="0" labelOnly="1" fieldPosition="0">
        <references count="1">
          <reference field="7" count="0"/>
        </references>
      </pivotArea>
    </format>
    <format dxfId="51">
      <pivotArea dataOnly="0" labelOnly="1" grandRow="1" outline="0" fieldPosition="0"/>
    </format>
    <format dxfId="50">
      <pivotArea type="all" dataOnly="0" outline="0" fieldPosition="0"/>
    </format>
    <format dxfId="49">
      <pivotArea outline="0" collapsedLevelsAreSubtotals="1" fieldPosition="0"/>
    </format>
    <format dxfId="48">
      <pivotArea field="7" type="button" dataOnly="0" labelOnly="1" outline="0" axis="axisRow" fieldPosition="0"/>
    </format>
    <format dxfId="47">
      <pivotArea dataOnly="0" labelOnly="1" fieldPosition="0">
        <references count="1">
          <reference field="7" count="0"/>
        </references>
      </pivotArea>
    </format>
    <format dxfId="4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569C44-9BE6-4FDF-B8D0-BCED697CAA04}"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Genre">
  <location ref="J3:K18" firstHeaderRow="1" firstDataRow="1" firstDataCol="1"/>
  <pivotFields count="11">
    <pivotField showAll="0"/>
    <pivotField numFmtId="14" showAll="0">
      <items count="17">
        <item x="2"/>
        <item x="5"/>
        <item x="9"/>
        <item x="7"/>
        <item x="13"/>
        <item x="3"/>
        <item x="0"/>
        <item x="15"/>
        <item x="1"/>
        <item x="10"/>
        <item x="14"/>
        <item x="8"/>
        <item x="6"/>
        <item x="11"/>
        <item x="12"/>
        <item x="4"/>
        <item t="default"/>
      </items>
    </pivotField>
    <pivotField axis="axisRow" showAll="0">
      <items count="16">
        <item x="13"/>
        <item x="6"/>
        <item x="3"/>
        <item x="2"/>
        <item x="10"/>
        <item x="1"/>
        <item x="7"/>
        <item x="4"/>
        <item x="14"/>
        <item x="12"/>
        <item x="5"/>
        <item x="11"/>
        <item x="8"/>
        <item x="0"/>
        <item x="9"/>
        <item t="default"/>
      </items>
    </pivotField>
    <pivotField showAll="0"/>
    <pivotField numFmtId="164" showAll="0"/>
    <pivotField dataField="1" numFmtId="164" showAll="0"/>
    <pivotField numFmtId="10"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2"/>
  </rowFields>
  <rowItems count="15">
    <i>
      <x/>
    </i>
    <i>
      <x v="1"/>
    </i>
    <i>
      <x v="2"/>
    </i>
    <i>
      <x v="3"/>
    </i>
    <i>
      <x v="4"/>
    </i>
    <i>
      <x v="5"/>
    </i>
    <i>
      <x v="6"/>
    </i>
    <i>
      <x v="7"/>
    </i>
    <i>
      <x v="8"/>
    </i>
    <i>
      <x v="9"/>
    </i>
    <i>
      <x v="10"/>
    </i>
    <i>
      <x v="11"/>
    </i>
    <i>
      <x v="12"/>
    </i>
    <i>
      <x v="13"/>
    </i>
    <i>
      <x v="14"/>
    </i>
  </rowItems>
  <colItems count="1">
    <i/>
  </colItems>
  <dataFields count="1">
    <dataField name="Total Collection" fld="5" baseField="0" baseItem="0" numFmtId="164"/>
  </dataFields>
  <formats count="9">
    <format dxfId="64">
      <pivotArea field="2" type="button" dataOnly="0" labelOnly="1" outline="0" axis="axisRow" fieldPosition="0"/>
    </format>
    <format dxfId="63">
      <pivotArea dataOnly="0" labelOnly="1" fieldPosition="0">
        <references count="1">
          <reference field="2" count="0"/>
        </references>
      </pivotArea>
    </format>
    <format dxfId="62">
      <pivotArea outline="0" collapsedLevelsAreSubtotals="1" fieldPosition="0"/>
    </format>
    <format dxfId="61">
      <pivotArea dataOnly="0" labelOnly="1" outline="0" axis="axisValues" fieldPosition="0"/>
    </format>
    <format dxfId="60">
      <pivotArea type="all" dataOnly="0" outline="0" fieldPosition="0"/>
    </format>
    <format dxfId="59">
      <pivotArea outline="0" collapsedLevelsAreSubtotals="1" fieldPosition="0"/>
    </format>
    <format dxfId="58">
      <pivotArea field="2" type="button" dataOnly="0" labelOnly="1" outline="0" axis="axisRow" fieldPosition="0"/>
    </format>
    <format dxfId="57">
      <pivotArea dataOnly="0" labelOnly="1" fieldPosition="0">
        <references count="1">
          <reference field="2" count="0"/>
        </references>
      </pivotArea>
    </format>
    <format dxfId="5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0AA9CE-50A7-4EBF-8A9B-B47B493523D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anguage">
  <location ref="S6:T12" firstHeaderRow="1" firstDataRow="1" firstDataCol="1"/>
  <pivotFields count="11">
    <pivotField dataField="1" showAll="0"/>
    <pivotField numFmtId="14" showAll="0">
      <items count="17">
        <item x="2"/>
        <item x="5"/>
        <item x="9"/>
        <item x="7"/>
        <item x="13"/>
        <item x="3"/>
        <item x="0"/>
        <item x="15"/>
        <item x="1"/>
        <item x="10"/>
        <item x="14"/>
        <item x="8"/>
        <item x="6"/>
        <item x="11"/>
        <item x="12"/>
        <item x="4"/>
        <item t="default"/>
      </items>
    </pivotField>
    <pivotField showAll="0"/>
    <pivotField axis="axisRow" showAll="0">
      <items count="6">
        <item x="0"/>
        <item x="1"/>
        <item x="2"/>
        <item x="4"/>
        <item x="3"/>
        <item t="default"/>
      </items>
    </pivotField>
    <pivotField numFmtId="164" showAll="0"/>
    <pivotField numFmtId="164" showAll="0"/>
    <pivotField numFmtId="10"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3"/>
  </rowFields>
  <rowItems count="6">
    <i>
      <x/>
    </i>
    <i>
      <x v="1"/>
    </i>
    <i>
      <x v="2"/>
    </i>
    <i>
      <x v="3"/>
    </i>
    <i>
      <x v="4"/>
    </i>
    <i t="grand">
      <x/>
    </i>
  </rowItems>
  <colItems count="1">
    <i/>
  </colItems>
  <dataFields count="1">
    <dataField name="no. of movies" fld="0" subtotal="count" baseField="0" baseItem="0"/>
  </dataFields>
  <formats count="12">
    <format dxfId="76">
      <pivotArea type="all" dataOnly="0" outline="0" fieldPosition="0"/>
    </format>
    <format dxfId="75">
      <pivotArea outline="0" collapsedLevelsAreSubtotals="1" fieldPosition="0"/>
    </format>
    <format dxfId="74">
      <pivotArea field="3" type="button" dataOnly="0" labelOnly="1" outline="0" axis="axisRow" fieldPosition="0"/>
    </format>
    <format dxfId="73">
      <pivotArea dataOnly="0" labelOnly="1" fieldPosition="0">
        <references count="1">
          <reference field="3" count="0"/>
        </references>
      </pivotArea>
    </format>
    <format dxfId="72">
      <pivotArea dataOnly="0" labelOnly="1" grandRow="1" outline="0" fieldPosition="0"/>
    </format>
    <format dxfId="71">
      <pivotArea dataOnly="0" labelOnly="1" outline="0" axis="axisValues" fieldPosition="0"/>
    </format>
    <format dxfId="70">
      <pivotArea type="all" dataOnly="0" outline="0" fieldPosition="0"/>
    </format>
    <format dxfId="69">
      <pivotArea outline="0" collapsedLevelsAreSubtotals="1" fieldPosition="0"/>
    </format>
    <format dxfId="68">
      <pivotArea field="3" type="button" dataOnly="0" labelOnly="1" outline="0" axis="axisRow" fieldPosition="0"/>
    </format>
    <format dxfId="67">
      <pivotArea dataOnly="0" labelOnly="1" fieldPosition="0">
        <references count="1">
          <reference field="3" count="0"/>
        </references>
      </pivotArea>
    </format>
    <format dxfId="66">
      <pivotArea dataOnly="0" labelOnly="1" grandRow="1" outline="0" fieldPosition="0"/>
    </format>
    <format dxfId="6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369004-5DDC-4540-80ED-0EF76BF25CAF}"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language">
  <location ref="G3:H8" firstHeaderRow="1" firstDataRow="1" firstDataCol="1"/>
  <pivotFields count="11">
    <pivotField showAll="0"/>
    <pivotField numFmtId="14" showAll="0">
      <items count="17">
        <item x="2"/>
        <item x="5"/>
        <item x="9"/>
        <item x="7"/>
        <item x="13"/>
        <item x="3"/>
        <item x="0"/>
        <item x="15"/>
        <item x="1"/>
        <item x="10"/>
        <item x="14"/>
        <item x="8"/>
        <item x="6"/>
        <item x="11"/>
        <item x="12"/>
        <item x="4"/>
        <item t="default"/>
      </items>
    </pivotField>
    <pivotField showAll="0"/>
    <pivotField axis="axisRow" showAll="0">
      <items count="6">
        <item x="0"/>
        <item x="1"/>
        <item x="2"/>
        <item x="4"/>
        <item x="3"/>
        <item t="default"/>
      </items>
    </pivotField>
    <pivotField numFmtId="164" showAll="0"/>
    <pivotField numFmtId="164" showAll="0"/>
    <pivotField dataField="1" numFmtId="10"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3"/>
  </rowFields>
  <rowItems count="5">
    <i>
      <x/>
    </i>
    <i>
      <x v="1"/>
    </i>
    <i>
      <x v="2"/>
    </i>
    <i>
      <x v="3"/>
    </i>
    <i>
      <x v="4"/>
    </i>
  </rowItems>
  <colItems count="1">
    <i/>
  </colItems>
  <dataFields count="1">
    <dataField name="Average ROI" fld="6" subtotal="average" baseField="3" baseItem="0" numFmtId="10"/>
  </dataFields>
  <formats count="10">
    <format dxfId="86">
      <pivotArea field="3" type="button" dataOnly="0" labelOnly="1" outline="0" axis="axisRow" fieldPosition="0"/>
    </format>
    <format dxfId="85">
      <pivotArea dataOnly="0" labelOnly="1" fieldPosition="0">
        <references count="1">
          <reference field="3" count="0"/>
        </references>
      </pivotArea>
    </format>
    <format dxfId="84">
      <pivotArea dataOnly="0" labelOnly="1" grandRow="1" outline="0" fieldPosition="0"/>
    </format>
    <format dxfId="83">
      <pivotArea outline="0" collapsedLevelsAreSubtotals="1" fieldPosition="0"/>
    </format>
    <format dxfId="82">
      <pivotArea dataOnly="0" labelOnly="1" outline="0" axis="axisValues" fieldPosition="0"/>
    </format>
    <format dxfId="81">
      <pivotArea type="all" dataOnly="0" outline="0" fieldPosition="0"/>
    </format>
    <format dxfId="80">
      <pivotArea outline="0" collapsedLevelsAreSubtotals="1" fieldPosition="0"/>
    </format>
    <format dxfId="79">
      <pivotArea field="3" type="button" dataOnly="0" labelOnly="1" outline="0" axis="axisRow" fieldPosition="0"/>
    </format>
    <format dxfId="78">
      <pivotArea dataOnly="0" labelOnly="1" fieldPosition="0">
        <references count="1">
          <reference field="3" count="0"/>
        </references>
      </pivotArea>
    </format>
    <format dxfId="77">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RELEASE_DATE" xr10:uid="{8D7EC836-A80A-4FA8-9383-6A1AEC119060}" sourceName="Years (RELEASE DATE)">
  <pivotTables>
    <pivotTable tabId="4" name="PivotTable1"/>
  </pivotTables>
  <data>
    <tabular pivotCacheId="1381027400">
      <items count="10">
        <i x="1" s="1"/>
        <i x="2" s="1"/>
        <i x="5" s="1"/>
        <i x="6" s="1"/>
        <i x="7" s="1"/>
        <i x="8" s="1"/>
        <i x="0" s="1" nd="1"/>
        <i x="9" s="1" nd="1"/>
        <i x="3"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RDICT1" xr10:uid="{54DC7BBA-8896-418B-957E-EF53AD151ABE}" sourceName="VERDICT">
  <pivotTables>
    <pivotTable tabId="4" name="PivotTable1"/>
  </pivotTables>
  <data>
    <tabular pivotCacheId="1381027400">
      <items count="5">
        <i x="3" s="1"/>
        <i x="0" s="1"/>
        <i x="4"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NGUAGE1" xr10:uid="{42CC8D42-9D3A-4821-94A8-29635632B86B}" sourceName="LANGUAGE">
  <pivotTables>
    <pivotTable tabId="4" name="PivotTable1"/>
  </pivotTables>
  <data>
    <tabular pivotCacheId="1381027400">
      <items count="5">
        <i x="0" s="1"/>
        <i x="1" s="1"/>
        <i x="2"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NGUAGE" xr10:uid="{542EF25A-1FEC-48CB-A870-DFB0322E0EF7}" sourceName="LANGUAGE">
  <extLst>
    <x:ext xmlns:x15="http://schemas.microsoft.com/office/spreadsheetml/2010/11/main" uri="{2F2917AC-EB37-4324-AD4E-5DD8C200BD13}">
      <x15:tableSlicerCache tableId="1" column="4"/>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RDICT" xr10:uid="{126EB787-6EFE-4468-8314-E37F4951200D}" sourceName="VERDICT">
  <extLst>
    <x:ext xmlns:x15="http://schemas.microsoft.com/office/spreadsheetml/2010/11/main" uri="{2F2917AC-EB37-4324-AD4E-5DD8C200BD13}">
      <x15:tableSlicerCache tableId="1" column="8"/>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YEAR" xr10:uid="{DAB20B9C-8589-41D7-9D2D-ED8C57194340}" sourceName="RELEASE YEAR">
  <extLst>
    <x:ext xmlns:x15="http://schemas.microsoft.com/office/spreadsheetml/2010/11/main" uri="{2F2917AC-EB37-4324-AD4E-5DD8C200BD13}">
      <x15:tableSlicerCache tableId="1" column="9"/>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ANGUAGE" xr10:uid="{52EA47B0-CB85-4A41-B19A-12C54B30B688}" cache="Slicer_LANGUAGE" caption="LANGUAGE" rowHeight="234950"/>
  <slicer name="VERDICT" xr10:uid="{682D33E3-D700-434D-8D52-4FC18A5C097F}" cache="Slicer_VERDICT" caption="VERDICT" rowHeight="234950"/>
  <slicer name="RELEASE YEAR" xr10:uid="{CBE2AAE9-0D8A-412A-9C59-D9EB6DE7F619}" cache="Slicer_RELEASE_YEAR" caption="RELEASE 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RELEASE DATE)" xr10:uid="{62883639-4B5F-4D76-A14F-4BA6227CBAC3}" cache="Slicer_Years__RELEASE_DATE" caption="Years (RELEASE DATE)" rowHeight="234950"/>
  <slicer name="VERDICT 1" xr10:uid="{5C02C4DE-819C-42A8-94AC-13754B4B9D3C}" cache="Slicer_VERDICT1" caption="VERDICT" rowHeight="234950"/>
  <slicer name="LANGUAGE 1" xr10:uid="{8F409023-9678-47A6-8523-C1362C350E65}" cache="Slicer_LANGUAGE1" caption="LANGUAG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35FCE3-9A82-430E-8C26-537F2E7B44FF}" name="Table1" displayName="Table1" ref="A4:I21" totalsRowShown="0" headerRowDxfId="13" dataDxfId="11" headerRowBorderDxfId="12" tableBorderDxfId="10" totalsRowBorderDxfId="9">
  <autoFilter ref="A4:I21" xr:uid="{0F35FCE3-9A82-430E-8C26-537F2E7B44FF}"/>
  <sortState xmlns:xlrd2="http://schemas.microsoft.com/office/spreadsheetml/2017/richdata2" ref="A5:I20">
    <sortCondition descending="1" ref="H4:H21"/>
  </sortState>
  <tableColumns count="9">
    <tableColumn id="1" xr3:uid="{7C04EB7B-83DA-427C-B29D-82CA48C8F1EC}" name="MOVIE NAME" dataDxfId="8"/>
    <tableColumn id="2" xr3:uid="{5998C499-5F4F-4C7E-B9C6-F1135073D0A1}" name="RELEASE DATE" dataDxfId="7"/>
    <tableColumn id="9" xr3:uid="{A9B3906E-36EC-404E-BEBA-CBB1BAF658C8}" name="RELEASE YEAR" dataDxfId="6">
      <calculatedColumnFormula>YEAR(B5)</calculatedColumnFormula>
    </tableColumn>
    <tableColumn id="3" xr3:uid="{B2FD9016-B9D1-4EBE-A11E-5D3F780B1842}" name="GENRE" dataDxfId="5"/>
    <tableColumn id="4" xr3:uid="{FC938136-07A6-4280-9D60-1EF8B61802B3}" name="LANGUAGE" dataDxfId="4"/>
    <tableColumn id="5" xr3:uid="{153A34A2-1B2C-4491-923A-F5317662ED42}" name="BUDGET" dataDxfId="3"/>
    <tableColumn id="6" xr3:uid="{9AD75ED3-5B98-451A-B29B-9CCD5268CD4D}" name=" WORLDWIDE COLLECTION" dataDxfId="2"/>
    <tableColumn id="7" xr3:uid="{0D7958B9-49E0-43DC-BF27-BAD6EDF1AD10}" name="ROI" dataDxfId="1">
      <calculatedColumnFormula>(G5-F5)/F5</calculatedColumnFormula>
    </tableColumn>
    <tableColumn id="8" xr3:uid="{9093CD00-D5BA-45A3-90D0-60741D8155C4}" name="VERDICT" dataDxfId="0">
      <calculatedColumnFormula>IF(H5&gt;3,"BLOCKBUSTER",IF(H5&gt;1.5,"SUPER HIT",IF(H5&gt;1,"HIT",IF(H5&gt;0.6,"AVERAGE",IF(H5&lt;0.6,"FLOP")))))</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5243D-4D08-436B-9EA3-187588E422EB}">
  <dimension ref="A1:R27"/>
  <sheetViews>
    <sheetView tabSelected="1" topLeftCell="A2" zoomScale="84" zoomScaleNormal="84" workbookViewId="0">
      <selection activeCell="C24" sqref="C24"/>
    </sheetView>
  </sheetViews>
  <sheetFormatPr defaultRowHeight="14.4" x14ac:dyDescent="0.3"/>
  <cols>
    <col min="1" max="1" width="17.5546875" style="22" bestFit="1" customWidth="1"/>
    <col min="2" max="2" width="17.6640625" style="1" bestFit="1" customWidth="1"/>
    <col min="3" max="3" width="17.6640625" style="1" customWidth="1"/>
    <col min="4" max="4" width="22.88671875" style="1" bestFit="1" customWidth="1"/>
    <col min="5" max="5" width="15.5546875" style="1" bestFit="1" customWidth="1"/>
    <col min="6" max="6" width="12.88671875" style="1" bestFit="1" customWidth="1"/>
    <col min="7" max="7" width="26" style="1" bestFit="1" customWidth="1"/>
    <col min="8" max="8" width="9.77734375" style="1" customWidth="1"/>
    <col min="9" max="9" width="13.109375" style="22" bestFit="1" customWidth="1"/>
    <col min="16" max="16" width="11.44140625" bestFit="1" customWidth="1"/>
    <col min="17" max="17" width="12.88671875" bestFit="1" customWidth="1"/>
  </cols>
  <sheetData>
    <row r="1" spans="1:9" x14ac:dyDescent="0.3">
      <c r="A1" s="30" t="s">
        <v>0</v>
      </c>
      <c r="B1" s="31"/>
      <c r="C1" s="31"/>
      <c r="D1" s="31"/>
      <c r="E1" s="31"/>
      <c r="F1" s="31"/>
      <c r="G1" s="31"/>
      <c r="H1" s="31"/>
      <c r="I1" s="32"/>
    </row>
    <row r="2" spans="1:9" x14ac:dyDescent="0.3">
      <c r="A2" s="33"/>
      <c r="B2" s="34"/>
      <c r="C2" s="34"/>
      <c r="D2" s="34"/>
      <c r="E2" s="34"/>
      <c r="F2" s="34"/>
      <c r="G2" s="34"/>
      <c r="H2" s="34"/>
      <c r="I2" s="35"/>
    </row>
    <row r="4" spans="1:9" x14ac:dyDescent="0.3">
      <c r="A4" s="6" t="s">
        <v>1</v>
      </c>
      <c r="B4" s="7" t="s">
        <v>2</v>
      </c>
      <c r="C4" s="18" t="s">
        <v>67</v>
      </c>
      <c r="D4" s="7" t="s">
        <v>3</v>
      </c>
      <c r="E4" s="7" t="s">
        <v>4</v>
      </c>
      <c r="F4" s="7" t="s">
        <v>5</v>
      </c>
      <c r="G4" s="8" t="s">
        <v>69</v>
      </c>
      <c r="H4" s="8" t="s">
        <v>6</v>
      </c>
      <c r="I4" s="9" t="s">
        <v>7</v>
      </c>
    </row>
    <row r="5" spans="1:9" x14ac:dyDescent="0.3">
      <c r="A5" s="20" t="s">
        <v>14</v>
      </c>
      <c r="B5" s="3">
        <v>44631</v>
      </c>
      <c r="C5" s="19">
        <f t="shared" ref="C5:C20" si="0">YEAR(B5)</f>
        <v>2022</v>
      </c>
      <c r="D5" s="2" t="s">
        <v>24</v>
      </c>
      <c r="E5" s="2" t="s">
        <v>38</v>
      </c>
      <c r="F5" s="4">
        <v>20</v>
      </c>
      <c r="G5" s="4">
        <v>300</v>
      </c>
      <c r="H5" s="5">
        <f t="shared" ref="H5:H20" si="1">(G5-F5)/F5</f>
        <v>14</v>
      </c>
      <c r="I5" s="23" t="str">
        <f t="shared" ref="I5:I20" si="2">IF(H5&gt;3,"BLOCKBUSTER",IF(H5&gt;1.5,"SUPER HIT",IF(H5&gt;1,"HIT",IF(H5&gt;0.6,"AVERAGE",IF(H5&lt;0.6,"FLOP")))))</f>
        <v>BLOCKBUSTER</v>
      </c>
    </row>
    <row r="6" spans="1:9" x14ac:dyDescent="0.3">
      <c r="A6" s="20" t="s">
        <v>9</v>
      </c>
      <c r="B6" s="3">
        <v>45226</v>
      </c>
      <c r="C6" s="19">
        <f t="shared" si="0"/>
        <v>2023</v>
      </c>
      <c r="D6" s="2" t="s">
        <v>30</v>
      </c>
      <c r="E6" s="2" t="s">
        <v>38</v>
      </c>
      <c r="F6" s="4">
        <v>20</v>
      </c>
      <c r="G6" s="4">
        <v>70</v>
      </c>
      <c r="H6" s="5">
        <f t="shared" si="1"/>
        <v>2.5</v>
      </c>
      <c r="I6" s="23" t="str">
        <f t="shared" si="2"/>
        <v>SUPER HIT</v>
      </c>
    </row>
    <row r="7" spans="1:9" x14ac:dyDescent="0.3">
      <c r="A7" s="20" t="s">
        <v>10</v>
      </c>
      <c r="B7" s="3">
        <v>43378</v>
      </c>
      <c r="C7" s="19">
        <f t="shared" si="0"/>
        <v>2018</v>
      </c>
      <c r="D7" s="2" t="s">
        <v>35</v>
      </c>
      <c r="E7" s="2" t="s">
        <v>38</v>
      </c>
      <c r="F7" s="4">
        <v>32</v>
      </c>
      <c r="G7" s="4">
        <v>456</v>
      </c>
      <c r="H7" s="5">
        <f t="shared" si="1"/>
        <v>13.25</v>
      </c>
      <c r="I7" s="23" t="str">
        <f t="shared" si="2"/>
        <v>BLOCKBUSTER</v>
      </c>
    </row>
    <row r="8" spans="1:9" x14ac:dyDescent="0.3">
      <c r="A8" s="20" t="s">
        <v>11</v>
      </c>
      <c r="B8" s="3">
        <v>44834</v>
      </c>
      <c r="C8" s="19">
        <f t="shared" si="0"/>
        <v>2022</v>
      </c>
      <c r="D8" s="2" t="s">
        <v>36</v>
      </c>
      <c r="E8" s="2" t="s">
        <v>39</v>
      </c>
      <c r="F8" s="4">
        <v>16</v>
      </c>
      <c r="G8" s="4">
        <v>400</v>
      </c>
      <c r="H8" s="5">
        <f t="shared" si="1"/>
        <v>24</v>
      </c>
      <c r="I8" s="23" t="str">
        <f t="shared" si="2"/>
        <v>BLOCKBUSTER</v>
      </c>
    </row>
    <row r="9" spans="1:9" x14ac:dyDescent="0.3">
      <c r="A9" s="20" t="s">
        <v>20</v>
      </c>
      <c r="B9" s="3">
        <v>45897</v>
      </c>
      <c r="C9" s="19">
        <f t="shared" si="0"/>
        <v>2025</v>
      </c>
      <c r="D9" s="2" t="s">
        <v>33</v>
      </c>
      <c r="E9" s="2" t="s">
        <v>40</v>
      </c>
      <c r="F9" s="4">
        <v>30</v>
      </c>
      <c r="G9" s="4">
        <v>280</v>
      </c>
      <c r="H9" s="5">
        <f t="shared" si="1"/>
        <v>8.3333333333333339</v>
      </c>
      <c r="I9" s="23" t="str">
        <f t="shared" si="2"/>
        <v>BLOCKBUSTER</v>
      </c>
    </row>
    <row r="10" spans="1:9" x14ac:dyDescent="0.3">
      <c r="A10" s="20" t="s">
        <v>12</v>
      </c>
      <c r="B10" s="3">
        <v>43385</v>
      </c>
      <c r="C10" s="19">
        <f t="shared" si="0"/>
        <v>2018</v>
      </c>
      <c r="D10" s="2" t="s">
        <v>32</v>
      </c>
      <c r="E10" s="2" t="s">
        <v>38</v>
      </c>
      <c r="F10" s="4">
        <v>15</v>
      </c>
      <c r="G10" s="4">
        <v>38</v>
      </c>
      <c r="H10" s="5">
        <f t="shared" si="1"/>
        <v>1.5333333333333334</v>
      </c>
      <c r="I10" s="23" t="str">
        <f t="shared" si="2"/>
        <v>SUPER HIT</v>
      </c>
    </row>
    <row r="11" spans="1:9" x14ac:dyDescent="0.3">
      <c r="A11" s="20" t="s">
        <v>13</v>
      </c>
      <c r="B11" s="3">
        <v>45478</v>
      </c>
      <c r="C11" s="19">
        <f t="shared" si="0"/>
        <v>2024</v>
      </c>
      <c r="D11" s="2" t="s">
        <v>27</v>
      </c>
      <c r="E11" s="2" t="s">
        <v>38</v>
      </c>
      <c r="F11" s="4">
        <v>20</v>
      </c>
      <c r="G11" s="4">
        <v>47</v>
      </c>
      <c r="H11" s="5">
        <f t="shared" si="1"/>
        <v>1.35</v>
      </c>
      <c r="I11" s="23" t="str">
        <f t="shared" si="2"/>
        <v>HIT</v>
      </c>
    </row>
    <row r="12" spans="1:9" x14ac:dyDescent="0.3">
      <c r="A12" s="20" t="s">
        <v>44</v>
      </c>
      <c r="B12" s="3">
        <v>45856</v>
      </c>
      <c r="C12" s="19">
        <f t="shared" si="0"/>
        <v>2025</v>
      </c>
      <c r="D12" s="2" t="s">
        <v>43</v>
      </c>
      <c r="E12" s="2" t="s">
        <v>38</v>
      </c>
      <c r="F12" s="4">
        <v>45</v>
      </c>
      <c r="G12" s="4">
        <v>580</v>
      </c>
      <c r="H12" s="5">
        <f t="shared" si="1"/>
        <v>11.888888888888889</v>
      </c>
      <c r="I12" s="23" t="str">
        <f t="shared" si="2"/>
        <v>BLOCKBUSTER</v>
      </c>
    </row>
    <row r="13" spans="1:9" x14ac:dyDescent="0.3">
      <c r="A13" s="20" t="s">
        <v>21</v>
      </c>
      <c r="B13" s="3">
        <v>45470</v>
      </c>
      <c r="C13" s="19">
        <f t="shared" si="0"/>
        <v>2024</v>
      </c>
      <c r="D13" s="2" t="s">
        <v>37</v>
      </c>
      <c r="E13" s="2" t="s">
        <v>41</v>
      </c>
      <c r="F13" s="4">
        <v>600</v>
      </c>
      <c r="G13" s="4">
        <v>1075</v>
      </c>
      <c r="H13" s="5">
        <f t="shared" si="1"/>
        <v>0.79166666666666663</v>
      </c>
      <c r="I13" s="23" t="str">
        <f t="shared" si="2"/>
        <v>AVERAGE</v>
      </c>
    </row>
    <row r="14" spans="1:9" x14ac:dyDescent="0.3">
      <c r="A14" s="20" t="s">
        <v>15</v>
      </c>
      <c r="B14" s="3">
        <v>43658</v>
      </c>
      <c r="C14" s="19">
        <f t="shared" si="0"/>
        <v>2019</v>
      </c>
      <c r="D14" s="2" t="s">
        <v>30</v>
      </c>
      <c r="E14" s="2" t="s">
        <v>38</v>
      </c>
      <c r="F14" s="4">
        <v>60</v>
      </c>
      <c r="G14" s="4">
        <v>185</v>
      </c>
      <c r="H14" s="5">
        <f t="shared" si="1"/>
        <v>2.0833333333333335</v>
      </c>
      <c r="I14" s="23" t="str">
        <f t="shared" si="2"/>
        <v>SUPER HIT</v>
      </c>
    </row>
    <row r="15" spans="1:9" x14ac:dyDescent="0.3">
      <c r="A15" s="20" t="s">
        <v>16</v>
      </c>
      <c r="B15" s="3">
        <v>45261</v>
      </c>
      <c r="C15" s="19">
        <f t="shared" si="0"/>
        <v>2023</v>
      </c>
      <c r="D15" s="2" t="s">
        <v>29</v>
      </c>
      <c r="E15" s="2" t="s">
        <v>38</v>
      </c>
      <c r="F15" s="4">
        <v>55</v>
      </c>
      <c r="G15" s="4">
        <v>111</v>
      </c>
      <c r="H15" s="5">
        <f t="shared" si="1"/>
        <v>1.0181818181818181</v>
      </c>
      <c r="I15" s="23" t="str">
        <f t="shared" si="2"/>
        <v>HIT</v>
      </c>
    </row>
    <row r="16" spans="1:9" x14ac:dyDescent="0.3">
      <c r="A16" s="20" t="s">
        <v>18</v>
      </c>
      <c r="B16" s="3">
        <v>45261</v>
      </c>
      <c r="C16" s="19">
        <f t="shared" si="0"/>
        <v>2023</v>
      </c>
      <c r="D16" s="2" t="s">
        <v>25</v>
      </c>
      <c r="E16" s="2" t="s">
        <v>38</v>
      </c>
      <c r="F16" s="4">
        <v>100</v>
      </c>
      <c r="G16" s="4">
        <v>815</v>
      </c>
      <c r="H16" s="5">
        <f t="shared" si="1"/>
        <v>7.15</v>
      </c>
      <c r="I16" s="23" t="str">
        <f t="shared" si="2"/>
        <v>BLOCKBUSTER</v>
      </c>
    </row>
    <row r="17" spans="1:18" x14ac:dyDescent="0.3">
      <c r="A17" s="20" t="s">
        <v>8</v>
      </c>
      <c r="B17" s="3">
        <v>44883</v>
      </c>
      <c r="C17" s="19">
        <f t="shared" si="0"/>
        <v>2022</v>
      </c>
      <c r="D17" s="2" t="s">
        <v>34</v>
      </c>
      <c r="E17" s="2" t="s">
        <v>38</v>
      </c>
      <c r="F17" s="4">
        <v>50</v>
      </c>
      <c r="G17" s="4">
        <v>319</v>
      </c>
      <c r="H17" s="5">
        <f t="shared" si="1"/>
        <v>5.38</v>
      </c>
      <c r="I17" s="23" t="str">
        <f t="shared" si="2"/>
        <v>BLOCKBUSTER</v>
      </c>
    </row>
    <row r="18" spans="1:18" ht="14.4" customHeight="1" x14ac:dyDescent="0.3">
      <c r="A18" s="20" t="s">
        <v>17</v>
      </c>
      <c r="B18" s="3">
        <v>44715</v>
      </c>
      <c r="C18" s="19">
        <f t="shared" si="0"/>
        <v>2022</v>
      </c>
      <c r="D18" s="2" t="s">
        <v>27</v>
      </c>
      <c r="E18" s="2" t="s">
        <v>42</v>
      </c>
      <c r="F18" s="4">
        <v>130</v>
      </c>
      <c r="G18" s="4">
        <v>400</v>
      </c>
      <c r="H18" s="5">
        <f t="shared" si="1"/>
        <v>2.0769230769230771</v>
      </c>
      <c r="I18" s="23" t="str">
        <f t="shared" si="2"/>
        <v>SUPER HIT</v>
      </c>
    </row>
    <row r="19" spans="1:18" ht="14.4" customHeight="1" x14ac:dyDescent="0.3">
      <c r="A19" s="20" t="s">
        <v>23</v>
      </c>
      <c r="B19" s="3">
        <v>45337</v>
      </c>
      <c r="C19" s="19">
        <f t="shared" si="0"/>
        <v>2024</v>
      </c>
      <c r="D19" s="2" t="s">
        <v>26</v>
      </c>
      <c r="E19" s="2" t="s">
        <v>40</v>
      </c>
      <c r="F19" s="4">
        <v>28</v>
      </c>
      <c r="G19" s="4">
        <v>55</v>
      </c>
      <c r="H19" s="5">
        <f t="shared" si="1"/>
        <v>0.9642857142857143</v>
      </c>
      <c r="I19" s="23" t="str">
        <f t="shared" si="2"/>
        <v>AVERAGE</v>
      </c>
    </row>
    <row r="20" spans="1:18" x14ac:dyDescent="0.3">
      <c r="A20" s="20" t="s">
        <v>22</v>
      </c>
      <c r="B20" s="3">
        <v>45702</v>
      </c>
      <c r="C20" s="19">
        <f t="shared" si="0"/>
        <v>2025</v>
      </c>
      <c r="D20" s="2" t="s">
        <v>28</v>
      </c>
      <c r="E20" s="2" t="s">
        <v>38</v>
      </c>
      <c r="F20" s="4">
        <v>125</v>
      </c>
      <c r="G20" s="4">
        <v>700</v>
      </c>
      <c r="H20" s="5">
        <f t="shared" si="1"/>
        <v>4.5999999999999996</v>
      </c>
      <c r="I20" s="23" t="str">
        <f t="shared" si="2"/>
        <v>BLOCKBUSTER</v>
      </c>
      <c r="O20" s="36" t="s">
        <v>78</v>
      </c>
      <c r="P20" s="36"/>
      <c r="Q20" s="36"/>
      <c r="R20" s="36"/>
    </row>
    <row r="21" spans="1:18" x14ac:dyDescent="0.3">
      <c r="A21" s="21" t="s">
        <v>19</v>
      </c>
      <c r="B21" s="10">
        <v>44889</v>
      </c>
      <c r="C21" s="19">
        <f t="shared" ref="C21" si="3">YEAR(B21)</f>
        <v>2022</v>
      </c>
      <c r="D21" s="11" t="s">
        <v>31</v>
      </c>
      <c r="E21" s="11" t="s">
        <v>38</v>
      </c>
      <c r="F21" s="12">
        <v>60</v>
      </c>
      <c r="G21" s="12">
        <v>90</v>
      </c>
      <c r="H21" s="13">
        <f t="shared" ref="H21" si="4">(G21-F21)/F21</f>
        <v>0.5</v>
      </c>
      <c r="I21" s="24" t="str">
        <f t="shared" ref="I21" si="5">IF(H21&gt;3,"BLOCKBUSTER",IF(H21&gt;1.5,"SUPER HIT",IF(H21&gt;1,"HIT",IF(H21&gt;0.6,"AVERAGE",IF(H21&lt;0.6,"FLOP")))))</f>
        <v>FLOP</v>
      </c>
      <c r="O21" s="36"/>
      <c r="P21" s="36"/>
      <c r="Q21" s="36"/>
      <c r="R21" s="36"/>
    </row>
    <row r="22" spans="1:18" ht="23.4" x14ac:dyDescent="0.3">
      <c r="P22" s="28" t="s">
        <v>71</v>
      </c>
      <c r="Q22" s="29" t="s">
        <v>72</v>
      </c>
    </row>
    <row r="23" spans="1:18" x14ac:dyDescent="0.3">
      <c r="P23" s="27" t="s">
        <v>73</v>
      </c>
      <c r="Q23" s="27" t="str">
        <f>VLOOKUP(P23,Table1[#All],9,0)</f>
        <v>HIT</v>
      </c>
    </row>
    <row r="24" spans="1:18" x14ac:dyDescent="0.3">
      <c r="P24" s="27" t="s">
        <v>74</v>
      </c>
      <c r="Q24" s="27" t="str">
        <f>VLOOKUP(P24,Table1[#All],9,0)</f>
        <v>SUPER HIT</v>
      </c>
    </row>
    <row r="25" spans="1:18" x14ac:dyDescent="0.3">
      <c r="P25" s="27" t="s">
        <v>75</v>
      </c>
      <c r="Q25" s="27" t="str">
        <f>VLOOKUP(P25,Table1[#All],9,0)</f>
        <v>BLOCKBUSTER</v>
      </c>
    </row>
    <row r="26" spans="1:18" x14ac:dyDescent="0.3">
      <c r="P26" s="27" t="s">
        <v>76</v>
      </c>
      <c r="Q26" s="27" t="str">
        <f>VLOOKUP(P26,Table1[#All],9,0)</f>
        <v>FLOP</v>
      </c>
    </row>
    <row r="27" spans="1:18" x14ac:dyDescent="0.3">
      <c r="P27" s="27" t="s">
        <v>77</v>
      </c>
      <c r="Q27" s="27" t="str">
        <f>VLOOKUP(P27,Table1[#All],9,0)</f>
        <v>HIT</v>
      </c>
    </row>
  </sheetData>
  <mergeCells count="2">
    <mergeCell ref="A1:I2"/>
    <mergeCell ref="O20:R21"/>
  </mergeCells>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B754A-4246-4BBF-A2C1-6B24818E0AD7}">
  <dimension ref="A1"/>
  <sheetViews>
    <sheetView topLeftCell="G12" zoomScale="80" zoomScaleNormal="80" workbookViewId="0">
      <selection activeCell="AB23" sqref="AB2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24EAD-6618-4DF4-AF4B-8E6E8A056872}">
  <dimension ref="A3:T21"/>
  <sheetViews>
    <sheetView topLeftCell="G1" workbookViewId="0">
      <selection activeCell="M23" sqref="M23"/>
    </sheetView>
  </sheetViews>
  <sheetFormatPr defaultRowHeight="14.4" x14ac:dyDescent="0.3"/>
  <cols>
    <col min="1" max="1" width="15.44140625" style="1" bestFit="1" customWidth="1"/>
    <col min="2" max="2" width="12.44140625" style="1" bestFit="1" customWidth="1"/>
    <col min="4" max="4" width="15.88671875" style="1" bestFit="1" customWidth="1"/>
    <col min="5" max="5" width="13.77734375" style="1" bestFit="1" customWidth="1"/>
    <col min="7" max="7" width="13.109375" style="1" bestFit="1" customWidth="1"/>
    <col min="8" max="8" width="11.33203125" style="1" bestFit="1" customWidth="1"/>
    <col min="10" max="10" width="22.44140625" style="1" bestFit="1" customWidth="1"/>
    <col min="11" max="11" width="14.109375" style="1" bestFit="1" customWidth="1"/>
    <col min="13" max="13" width="12.88671875" style="1" bestFit="1" customWidth="1"/>
    <col min="14" max="14" width="13.6640625" style="1" bestFit="1" customWidth="1"/>
    <col min="16" max="16" width="15" style="22" bestFit="1" customWidth="1"/>
    <col min="17" max="17" width="28.109375" style="22" bestFit="1" customWidth="1"/>
    <col min="19" max="19" width="12.5546875" bestFit="1" customWidth="1"/>
    <col min="20" max="20" width="20.6640625" bestFit="1" customWidth="1"/>
  </cols>
  <sheetData>
    <row r="3" spans="1:20" x14ac:dyDescent="0.3">
      <c r="A3" s="14" t="s">
        <v>54</v>
      </c>
      <c r="B3" s="15" t="s">
        <v>53</v>
      </c>
      <c r="D3" s="14" t="s">
        <v>55</v>
      </c>
      <c r="E3" s="15" t="s">
        <v>56</v>
      </c>
      <c r="G3" s="14" t="s">
        <v>58</v>
      </c>
      <c r="H3" s="15" t="s">
        <v>57</v>
      </c>
      <c r="J3" s="14" t="s">
        <v>46</v>
      </c>
      <c r="K3" s="15" t="s">
        <v>59</v>
      </c>
      <c r="M3" s="14" t="s">
        <v>66</v>
      </c>
      <c r="N3" s="15" t="s">
        <v>65</v>
      </c>
      <c r="P3" s="26" t="s">
        <v>68</v>
      </c>
      <c r="Q3" s="22" t="s">
        <v>70</v>
      </c>
    </row>
    <row r="4" spans="1:20" x14ac:dyDescent="0.3">
      <c r="A4" s="15" t="s">
        <v>47</v>
      </c>
      <c r="B4" s="15">
        <v>2</v>
      </c>
      <c r="D4" s="15" t="s">
        <v>47</v>
      </c>
      <c r="E4" s="16">
        <v>494</v>
      </c>
      <c r="G4" s="15" t="s">
        <v>38</v>
      </c>
      <c r="H4" s="17">
        <v>5.4378114478114483</v>
      </c>
      <c r="J4" s="15" t="s">
        <v>25</v>
      </c>
      <c r="K4" s="16">
        <v>815</v>
      </c>
      <c r="M4" s="15" t="s">
        <v>60</v>
      </c>
      <c r="N4" s="15">
        <v>2</v>
      </c>
      <c r="P4" s="22" t="s">
        <v>9</v>
      </c>
      <c r="Q4" s="25">
        <v>70</v>
      </c>
    </row>
    <row r="5" spans="1:20" x14ac:dyDescent="0.3">
      <c r="A5" s="15" t="s">
        <v>48</v>
      </c>
      <c r="B5" s="15">
        <v>1</v>
      </c>
      <c r="D5" s="15" t="s">
        <v>48</v>
      </c>
      <c r="E5" s="16">
        <v>185</v>
      </c>
      <c r="G5" s="15" t="s">
        <v>39</v>
      </c>
      <c r="H5" s="17">
        <v>24</v>
      </c>
      <c r="J5" s="15" t="s">
        <v>27</v>
      </c>
      <c r="K5" s="16">
        <v>447</v>
      </c>
      <c r="M5" s="15" t="s">
        <v>61</v>
      </c>
      <c r="N5" s="15">
        <v>8</v>
      </c>
      <c r="P5" s="22" t="s">
        <v>10</v>
      </c>
      <c r="Q5" s="25">
        <v>456</v>
      </c>
    </row>
    <row r="6" spans="1:20" x14ac:dyDescent="0.3">
      <c r="A6" s="15" t="s">
        <v>49</v>
      </c>
      <c r="B6" s="15">
        <v>5</v>
      </c>
      <c r="D6" s="15" t="s">
        <v>49</v>
      </c>
      <c r="E6" s="16">
        <v>1509</v>
      </c>
      <c r="G6" s="15" t="s">
        <v>40</v>
      </c>
      <c r="H6" s="17">
        <v>4.6488095238095237</v>
      </c>
      <c r="J6" s="15" t="s">
        <v>36</v>
      </c>
      <c r="K6" s="16">
        <v>400</v>
      </c>
      <c r="M6" s="15" t="s">
        <v>62</v>
      </c>
      <c r="N6" s="15">
        <v>1</v>
      </c>
      <c r="P6" s="22" t="s">
        <v>18</v>
      </c>
      <c r="Q6" s="25">
        <v>815</v>
      </c>
      <c r="S6" s="26" t="s">
        <v>58</v>
      </c>
      <c r="T6" s="22" t="s">
        <v>53</v>
      </c>
    </row>
    <row r="7" spans="1:20" x14ac:dyDescent="0.3">
      <c r="A7" s="15" t="s">
        <v>50</v>
      </c>
      <c r="B7" s="15">
        <v>3</v>
      </c>
      <c r="D7" s="15" t="s">
        <v>50</v>
      </c>
      <c r="E7" s="16">
        <v>996</v>
      </c>
      <c r="G7" s="15" t="s">
        <v>42</v>
      </c>
      <c r="H7" s="17">
        <v>2.0769230769230771</v>
      </c>
      <c r="J7" s="15" t="s">
        <v>35</v>
      </c>
      <c r="K7" s="16">
        <v>456</v>
      </c>
      <c r="M7" s="15" t="s">
        <v>63</v>
      </c>
      <c r="N7" s="15">
        <v>2</v>
      </c>
      <c r="P7" s="22" t="s">
        <v>19</v>
      </c>
      <c r="Q7" s="25">
        <v>90</v>
      </c>
      <c r="S7" s="22" t="s">
        <v>38</v>
      </c>
      <c r="T7" s="22">
        <v>12</v>
      </c>
    </row>
    <row r="8" spans="1:20" x14ac:dyDescent="0.3">
      <c r="A8" s="15" t="s">
        <v>51</v>
      </c>
      <c r="B8" s="15">
        <v>3</v>
      </c>
      <c r="D8" s="15" t="s">
        <v>51</v>
      </c>
      <c r="E8" s="16">
        <v>1177</v>
      </c>
      <c r="G8" s="15" t="s">
        <v>41</v>
      </c>
      <c r="H8" s="17">
        <v>0.79166666666666663</v>
      </c>
      <c r="J8" s="15" t="s">
        <v>28</v>
      </c>
      <c r="K8" s="16">
        <v>700</v>
      </c>
      <c r="M8" s="15" t="s">
        <v>64</v>
      </c>
      <c r="N8" s="15">
        <v>4</v>
      </c>
      <c r="P8" s="22" t="s">
        <v>23</v>
      </c>
      <c r="Q8" s="25">
        <v>55</v>
      </c>
      <c r="S8" s="22" t="s">
        <v>39</v>
      </c>
      <c r="T8" s="22">
        <v>1</v>
      </c>
    </row>
    <row r="9" spans="1:20" x14ac:dyDescent="0.3">
      <c r="A9" s="15" t="s">
        <v>52</v>
      </c>
      <c r="B9" s="15">
        <v>3</v>
      </c>
      <c r="D9" s="15" t="s">
        <v>52</v>
      </c>
      <c r="E9" s="16">
        <v>1560</v>
      </c>
      <c r="G9"/>
      <c r="H9"/>
      <c r="J9" s="15" t="s">
        <v>30</v>
      </c>
      <c r="K9" s="16">
        <v>255</v>
      </c>
      <c r="M9"/>
      <c r="N9"/>
      <c r="P9" s="22" t="s">
        <v>22</v>
      </c>
      <c r="Q9" s="25">
        <v>700</v>
      </c>
      <c r="S9" s="22" t="s">
        <v>40</v>
      </c>
      <c r="T9" s="22">
        <v>2</v>
      </c>
    </row>
    <row r="10" spans="1:20" x14ac:dyDescent="0.3">
      <c r="A10" s="15" t="s">
        <v>45</v>
      </c>
      <c r="B10" s="15">
        <v>17</v>
      </c>
      <c r="D10"/>
      <c r="E10"/>
      <c r="J10" s="15" t="s">
        <v>24</v>
      </c>
      <c r="K10" s="16">
        <v>300</v>
      </c>
      <c r="P10" s="22" t="s">
        <v>8</v>
      </c>
      <c r="Q10" s="25">
        <v>319</v>
      </c>
      <c r="S10" s="22" t="s">
        <v>42</v>
      </c>
      <c r="T10" s="22">
        <v>1</v>
      </c>
    </row>
    <row r="11" spans="1:20" x14ac:dyDescent="0.3">
      <c r="J11" s="15" t="s">
        <v>33</v>
      </c>
      <c r="K11" s="16">
        <v>280</v>
      </c>
      <c r="P11" s="22" t="s">
        <v>21</v>
      </c>
      <c r="Q11" s="25">
        <v>1075</v>
      </c>
      <c r="S11" s="22" t="s">
        <v>41</v>
      </c>
      <c r="T11" s="22">
        <v>1</v>
      </c>
    </row>
    <row r="12" spans="1:20" x14ac:dyDescent="0.3">
      <c r="J12" s="15" t="s">
        <v>31</v>
      </c>
      <c r="K12" s="16">
        <v>90</v>
      </c>
      <c r="P12" s="22" t="s">
        <v>11</v>
      </c>
      <c r="Q12" s="25">
        <v>400</v>
      </c>
      <c r="S12" s="22" t="s">
        <v>45</v>
      </c>
      <c r="T12" s="22">
        <v>17</v>
      </c>
    </row>
    <row r="13" spans="1:20" x14ac:dyDescent="0.3">
      <c r="J13" s="15" t="s">
        <v>26</v>
      </c>
      <c r="K13" s="16">
        <v>55</v>
      </c>
      <c r="P13" s="22" t="s">
        <v>13</v>
      </c>
      <c r="Q13" s="25">
        <v>47</v>
      </c>
    </row>
    <row r="14" spans="1:20" x14ac:dyDescent="0.3">
      <c r="J14" s="15" t="s">
        <v>32</v>
      </c>
      <c r="K14" s="16">
        <v>38</v>
      </c>
      <c r="P14" s="22" t="s">
        <v>20</v>
      </c>
      <c r="Q14" s="25">
        <v>280</v>
      </c>
    </row>
    <row r="15" spans="1:20" x14ac:dyDescent="0.3">
      <c r="J15" s="15" t="s">
        <v>43</v>
      </c>
      <c r="K15" s="16">
        <v>580</v>
      </c>
      <c r="P15" s="22" t="s">
        <v>44</v>
      </c>
      <c r="Q15" s="25">
        <v>580</v>
      </c>
    </row>
    <row r="16" spans="1:20" x14ac:dyDescent="0.3">
      <c r="J16" s="15" t="s">
        <v>37</v>
      </c>
      <c r="K16" s="16">
        <v>1075</v>
      </c>
      <c r="P16" s="22" t="s">
        <v>16</v>
      </c>
      <c r="Q16" s="25">
        <v>111</v>
      </c>
    </row>
    <row r="17" spans="10:17" x14ac:dyDescent="0.3">
      <c r="J17" s="15" t="s">
        <v>34</v>
      </c>
      <c r="K17" s="16">
        <v>319</v>
      </c>
      <c r="P17" s="22" t="s">
        <v>15</v>
      </c>
      <c r="Q17" s="25">
        <v>185</v>
      </c>
    </row>
    <row r="18" spans="10:17" x14ac:dyDescent="0.3">
      <c r="J18" s="15" t="s">
        <v>29</v>
      </c>
      <c r="K18" s="16">
        <v>111</v>
      </c>
      <c r="P18" s="22" t="s">
        <v>14</v>
      </c>
      <c r="Q18" s="25">
        <v>300</v>
      </c>
    </row>
    <row r="19" spans="10:17" x14ac:dyDescent="0.3">
      <c r="P19" s="22" t="s">
        <v>12</v>
      </c>
      <c r="Q19" s="25">
        <v>38</v>
      </c>
    </row>
    <row r="20" spans="10:17" x14ac:dyDescent="0.3">
      <c r="P20" s="22" t="s">
        <v>17</v>
      </c>
      <c r="Q20" s="25">
        <v>400</v>
      </c>
    </row>
    <row r="21" spans="10:17" x14ac:dyDescent="0.3">
      <c r="P21" s="22" t="s">
        <v>45</v>
      </c>
      <c r="Q21" s="25">
        <v>5921</v>
      </c>
    </row>
  </sheetData>
  <pageMargins left="0.7" right="0.7" top="0.75" bottom="0.75" header="0.3" footer="0.3"/>
  <pageSetup orientation="portrait" r:id="rId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0300D17-0F8B-4CC1-AEBC-902E4EB6EF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vishrut pandey</dc:creator>
  <cp:lastModifiedBy>vishrut pandey</cp:lastModifiedBy>
  <cp:lastPrinted>2025-12-13T20:47:56Z</cp:lastPrinted>
  <dcterms:created xsi:type="dcterms:W3CDTF">2025-12-12T18:54:58Z</dcterms:created>
  <dcterms:modified xsi:type="dcterms:W3CDTF">2026-04-09T09:55:46Z</dcterms:modified>
</cp:coreProperties>
</file>
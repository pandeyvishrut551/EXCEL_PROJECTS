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E:\EXCEL SHEETS\"/>
    </mc:Choice>
  </mc:AlternateContent>
  <xr:revisionPtr revIDLastSave="0" documentId="13_ncr:1_{B44CA9ED-1B88-40E6-8CA7-801824BBF685}" xr6:coauthVersionLast="47" xr6:coauthVersionMax="47" xr10:uidLastSave="{00000000-0000-0000-0000-000000000000}"/>
  <bookViews>
    <workbookView xWindow="-108" yWindow="-108" windowWidth="23256" windowHeight="12456" xr2:uid="{724F2EAD-3059-4262-B4E8-7F99E4A23C0E}"/>
  </bookViews>
  <sheets>
    <sheet name="pivot tables" sheetId="3" r:id="rId1"/>
    <sheet name="data" sheetId="1" r:id="rId2"/>
  </sheets>
  <definedNames>
    <definedName name="Slicer_City">#N/A</definedName>
    <definedName name="Slicer_Room_Type">#N/A</definedName>
  </definedNames>
  <calcPr calcId="191029"/>
  <pivotCaches>
    <pivotCache cacheId="0" r:id="rId3"/>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5" i="1" l="1"/>
  <c r="O16" i="1"/>
  <c r="O14" i="1"/>
  <c r="O7" i="1"/>
  <c r="O6" i="1"/>
  <c r="O4" i="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O5" i="1" l="1"/>
</calcChain>
</file>

<file path=xl/sharedStrings.xml><?xml version="1.0" encoding="utf-8"?>
<sst xmlns="http://schemas.openxmlformats.org/spreadsheetml/2006/main" count="134" uniqueCount="74">
  <si>
    <t>Booking ID</t>
  </si>
  <si>
    <t>Customer Name</t>
  </si>
  <si>
    <t>City</t>
  </si>
  <si>
    <t>Check-in date</t>
  </si>
  <si>
    <t>Check-out date</t>
  </si>
  <si>
    <t>Room Type</t>
  </si>
  <si>
    <t>Price per night</t>
  </si>
  <si>
    <t>Payment Mode</t>
  </si>
  <si>
    <t>Booking Status</t>
  </si>
  <si>
    <t>B001</t>
  </si>
  <si>
    <t>B002</t>
  </si>
  <si>
    <t>B003</t>
  </si>
  <si>
    <t>B004</t>
  </si>
  <si>
    <t>B005</t>
  </si>
  <si>
    <t>B006</t>
  </si>
  <si>
    <t>B007</t>
  </si>
  <si>
    <t>B008</t>
  </si>
  <si>
    <t>B009</t>
  </si>
  <si>
    <t>B010</t>
  </si>
  <si>
    <t>B011</t>
  </si>
  <si>
    <t>B012</t>
  </si>
  <si>
    <t>B013</t>
  </si>
  <si>
    <t>B014</t>
  </si>
  <si>
    <t>B015</t>
  </si>
  <si>
    <t>Rajveer Goyal</t>
  </si>
  <si>
    <t>Vikas Agarwal</t>
  </si>
  <si>
    <t>Anoop Singh</t>
  </si>
  <si>
    <t>Shreya Patil</t>
  </si>
  <si>
    <t>Shashwat Yadav</t>
  </si>
  <si>
    <t>Pradeep Kumar</t>
  </si>
  <si>
    <t>Shekhar Pratap</t>
  </si>
  <si>
    <t>Hamza Ali</t>
  </si>
  <si>
    <t>Harleen Singh</t>
  </si>
  <si>
    <t>Vinay Chauhan</t>
  </si>
  <si>
    <t>Jaskirat Singh Rangi</t>
  </si>
  <si>
    <t>Rakesh Kapoor</t>
  </si>
  <si>
    <t>Anupriya Jaiswal</t>
  </si>
  <si>
    <t>Krish Sodhi</t>
  </si>
  <si>
    <t>Michael Chophy</t>
  </si>
  <si>
    <t>Delhi</t>
  </si>
  <si>
    <t>Hyderabad</t>
  </si>
  <si>
    <t>HOTEL CHAIN BOOKING DATA</t>
  </si>
  <si>
    <t>Kolkata</t>
  </si>
  <si>
    <t>Mumbai</t>
  </si>
  <si>
    <t>Lucknow</t>
  </si>
  <si>
    <t>Pune</t>
  </si>
  <si>
    <t>Chennai</t>
  </si>
  <si>
    <t>UPI</t>
  </si>
  <si>
    <t>DEBIT CARD</t>
  </si>
  <si>
    <t>CASH</t>
  </si>
  <si>
    <t xml:space="preserve">Completed  </t>
  </si>
  <si>
    <t xml:space="preserve">Confirmed  </t>
  </si>
  <si>
    <t xml:space="preserve">Cancelled  </t>
  </si>
  <si>
    <t>Single</t>
  </si>
  <si>
    <t>Double</t>
  </si>
  <si>
    <t>Deluxe</t>
  </si>
  <si>
    <t>Suite</t>
  </si>
  <si>
    <t>Bengaluru</t>
  </si>
  <si>
    <t>Total Nights</t>
  </si>
  <si>
    <t>Bill</t>
  </si>
  <si>
    <t>total bookings</t>
  </si>
  <si>
    <t>total revenue</t>
  </si>
  <si>
    <t>average bill value</t>
  </si>
  <si>
    <t>total cancelled bookings</t>
  </si>
  <si>
    <t>harleen singh</t>
  </si>
  <si>
    <t>hamza ali</t>
  </si>
  <si>
    <t>rakesh kapoor</t>
  </si>
  <si>
    <t>summary table</t>
  </si>
  <si>
    <t>name</t>
  </si>
  <si>
    <t>total bill</t>
  </si>
  <si>
    <t>Row Labels</t>
  </si>
  <si>
    <t>Sum of Bill</t>
  </si>
  <si>
    <t>Count of Booking ID</t>
  </si>
  <si>
    <t xml:space="preserve">vlookup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</si>
</sst>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1"/>
      <color theme="1"/>
      <name val="Calibri"/>
      <family val="2"/>
      <scheme val="minor"/>
    </font>
    <font>
      <sz val="8"/>
      <name val="Calibri"/>
      <family val="2"/>
      <scheme val="minor"/>
    </font>
    <font>
      <b/>
      <sz val="14"/>
      <color theme="1"/>
      <name val="Arial"/>
      <family val="2"/>
    </font>
    <font>
      <b/>
      <sz val="12"/>
      <color theme="1"/>
      <name val="Calibri"/>
      <family val="2"/>
      <scheme val="minor"/>
    </font>
  </fonts>
  <fills count="3">
    <fill>
      <patternFill patternType="none"/>
    </fill>
    <fill>
      <patternFill patternType="gray125"/>
    </fill>
    <fill>
      <patternFill patternType="solid">
        <fgColor rgb="FFEB63CB"/>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s>
  <cellStyleXfs count="1">
    <xf numFmtId="0" fontId="0" fillId="0" borderId="0"/>
  </cellStyleXfs>
  <cellXfs count="21">
    <xf numFmtId="0" fontId="0" fillId="0" borderId="0" xfId="0"/>
    <xf numFmtId="0" fontId="0" fillId="0" borderId="0" xfId="0" applyAlignment="1">
      <alignment horizontal="center"/>
    </xf>
    <xf numFmtId="0" fontId="0" fillId="0" borderId="1" xfId="0" applyBorder="1" applyAlignment="1">
      <alignment horizontal="center"/>
    </xf>
    <xf numFmtId="14"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xf>
    <xf numFmtId="0" fontId="0" fillId="0" borderId="3" xfId="0" applyBorder="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4" fontId="0" fillId="0" borderId="8" xfId="0" applyNumberFormat="1" applyBorder="1" applyAlignment="1">
      <alignment horizontal="center" vertical="center" wrapText="1"/>
    </xf>
    <xf numFmtId="0" fontId="0" fillId="0" borderId="8" xfId="0" applyBorder="1" applyAlignment="1">
      <alignment horizontal="center" vertical="center" wrapText="1"/>
    </xf>
    <xf numFmtId="0" fontId="3" fillId="0" borderId="1" xfId="0" applyFont="1" applyBorder="1" applyAlignment="1">
      <alignment horizontal="center"/>
    </xf>
    <xf numFmtId="164" fontId="0" fillId="0" borderId="1" xfId="0" applyNumberFormat="1" applyBorder="1" applyAlignment="1">
      <alignment horizontal="center"/>
    </xf>
    <xf numFmtId="0" fontId="0" fillId="0" borderId="0" xfId="0" pivotButton="1" applyAlignment="1">
      <alignment horizontal="center"/>
    </xf>
    <xf numFmtId="0" fontId="0" fillId="0" borderId="9" xfId="0" applyBorder="1" applyAlignment="1">
      <alignment horizontal="center"/>
    </xf>
    <xf numFmtId="0" fontId="2" fillId="2" borderId="0" xfId="0" applyFont="1" applyFill="1" applyAlignment="1">
      <alignment horizontal="center" vertical="center"/>
    </xf>
    <xf numFmtId="0" fontId="0" fillId="0" borderId="0" xfId="0" applyAlignment="1">
      <alignment horizontal="center" vertical="center"/>
    </xf>
    <xf numFmtId="0" fontId="0" fillId="0" borderId="9" xfId="0" applyBorder="1" applyAlignment="1">
      <alignment horizontal="center" vertical="center"/>
    </xf>
  </cellXfs>
  <cellStyles count="1">
    <cellStyle name="Normal" xfId="0" builtinId="0"/>
  </cellStyles>
  <dxfs count="3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font>
        <color rgb="FF7030A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rgb="FF7030A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EB63CB"/>
      <color rgb="FF6600CC"/>
      <color rgb="FF66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5</xdr:col>
      <xdr:colOff>730265</xdr:colOff>
      <xdr:row>21</xdr:row>
      <xdr:rowOff>109390</xdr:rowOff>
    </xdr:from>
    <xdr:to>
      <xdr:col>6</xdr:col>
      <xdr:colOff>1348781</xdr:colOff>
      <xdr:row>33</xdr:row>
      <xdr:rowOff>140541</xdr:rowOff>
    </xdr:to>
    <mc:AlternateContent xmlns:mc="http://schemas.openxmlformats.org/markup-compatibility/2006" xmlns:sle15="http://schemas.microsoft.com/office/drawing/2012/slicer">
      <mc:Choice Requires="sle15">
        <xdr:graphicFrame macro="">
          <xdr:nvGraphicFramePr>
            <xdr:cNvPr id="2" name="City">
              <a:extLst>
                <a:ext uri="{FF2B5EF4-FFF2-40B4-BE49-F238E27FC236}">
                  <a16:creationId xmlns:a16="http://schemas.microsoft.com/office/drawing/2014/main" id="{09CF4224-9C03-EA6E-9BA6-D21E5CA0B40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790406" y="3892496"/>
              <a:ext cx="1810822" cy="218268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899848</xdr:colOff>
      <xdr:row>21</xdr:row>
      <xdr:rowOff>139411</xdr:rowOff>
    </xdr:from>
    <xdr:to>
      <xdr:col>8</xdr:col>
      <xdr:colOff>1245561</xdr:colOff>
      <xdr:row>29</xdr:row>
      <xdr:rowOff>103789</xdr:rowOff>
    </xdr:to>
    <mc:AlternateContent xmlns:mc="http://schemas.openxmlformats.org/markup-compatibility/2006" xmlns:sle15="http://schemas.microsoft.com/office/drawing/2012/slicer">
      <mc:Choice Requires="sle15">
        <xdr:graphicFrame macro="">
          <xdr:nvGraphicFramePr>
            <xdr:cNvPr id="3" name="Room Type">
              <a:extLst>
                <a:ext uri="{FF2B5EF4-FFF2-40B4-BE49-F238E27FC236}">
                  <a16:creationId xmlns:a16="http://schemas.microsoft.com/office/drawing/2014/main" id="{A605437E-FE3E-61D3-D9BF-45E0CA9A02B7}"/>
                </a:ext>
              </a:extLst>
            </xdr:cNvPr>
            <xdr:cNvGraphicFramePr/>
          </xdr:nvGraphicFramePr>
          <xdr:xfrm>
            <a:off x="0" y="0"/>
            <a:ext cx="0" cy="0"/>
          </xdr:xfrm>
          <a:graphic>
            <a:graphicData uri="http://schemas.microsoft.com/office/drawing/2010/slicer">
              <sle:slicer xmlns:sle="http://schemas.microsoft.com/office/drawing/2010/slicer" name="Room Type"/>
            </a:graphicData>
          </a:graphic>
        </xdr:graphicFrame>
      </mc:Choice>
      <mc:Fallback xmlns="">
        <xdr:sp macro="" textlink="">
          <xdr:nvSpPr>
            <xdr:cNvPr id="0" name=""/>
            <xdr:cNvSpPr>
              <a:spLocks noTextEdit="1"/>
            </xdr:cNvSpPr>
          </xdr:nvSpPr>
          <xdr:spPr>
            <a:xfrm>
              <a:off x="9586648" y="3922517"/>
              <a:ext cx="1815925" cy="139873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03.014845138889" createdVersion="8" refreshedVersion="8" minRefreshableVersion="3" recordCount="15" xr:uid="{AF35BEAB-FCA6-40E3-A06E-68E1A001338C}">
  <cacheSource type="worksheet">
    <worksheetSource name="Table1"/>
  </cacheSource>
  <cacheFields count="12">
    <cacheField name="Booking ID" numFmtId="0">
      <sharedItems/>
    </cacheField>
    <cacheField name="Customer Name" numFmtId="0">
      <sharedItems/>
    </cacheField>
    <cacheField name="City" numFmtId="0">
      <sharedItems count="8">
        <s v="Delhi"/>
        <s v="Hyderabad"/>
        <s v="Kolkata"/>
        <s v="Bengaluru"/>
        <s v="Mumbai"/>
        <s v="Lucknow"/>
        <s v="Pune"/>
        <s v="Chennai"/>
      </sharedItems>
    </cacheField>
    <cacheField name="Check-in date" numFmtId="14">
      <sharedItems containsSemiMixedTypes="0" containsNonDate="0" containsDate="1" containsString="0" minDate="2025-01-05T00:00:00" maxDate="2025-12-05T00:00:00"/>
    </cacheField>
    <cacheField name="Check-out date" numFmtId="14">
      <sharedItems containsSemiMixedTypes="0" containsNonDate="0" containsDate="1" containsString="0" minDate="2025-01-08T00:00:00" maxDate="2025-12-12T00:00:00"/>
    </cacheField>
    <cacheField name="Room Type" numFmtId="0">
      <sharedItems count="4">
        <s v="Single"/>
        <s v="Double"/>
        <s v="Deluxe"/>
        <s v="Suite"/>
      </sharedItems>
    </cacheField>
    <cacheField name="Price per night" numFmtId="0">
      <sharedItems containsSemiMixedTypes="0" containsString="0" containsNumber="1" containsInteger="1" minValue="2000" maxValue="7800"/>
    </cacheField>
    <cacheField name="Payment Mode" numFmtId="0">
      <sharedItems count="3">
        <s v="UPI"/>
        <s v="DEBIT CARD"/>
        <s v="CASH"/>
      </sharedItems>
    </cacheField>
    <cacheField name="Booking Status" numFmtId="0">
      <sharedItems/>
    </cacheField>
    <cacheField name="Total Nights" numFmtId="0">
      <sharedItems containsSemiMixedTypes="0" containsString="0" containsNumber="1" containsInteger="1" minValue="2" maxValue="7"/>
    </cacheField>
    <cacheField name="Bill" numFmtId="0">
      <sharedItems containsSemiMixedTypes="0" containsString="0" containsNumber="1" containsInteger="1" minValue="4000" maxValue="31200"/>
    </cacheField>
    <cacheField name="Booking typ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B001"/>
    <s v="Rajveer Goyal"/>
    <x v="0"/>
    <d v="2025-12-04T00:00:00"/>
    <d v="2025-12-11T00:00:00"/>
    <x v="0"/>
    <n v="2300"/>
    <x v="0"/>
    <s v="Completed  "/>
    <n v="7"/>
    <n v="16100"/>
    <s v="High"/>
  </r>
  <r>
    <s v="B002"/>
    <s v="Vikas Agarwal"/>
    <x v="1"/>
    <d v="2025-01-05T00:00:00"/>
    <d v="2025-01-08T00:00:00"/>
    <x v="0"/>
    <n v="2200"/>
    <x v="0"/>
    <s v="Confirmed  "/>
    <n v="3"/>
    <n v="6600"/>
    <s v="Normal"/>
  </r>
  <r>
    <s v="B003"/>
    <s v="Anoop Singh"/>
    <x v="2"/>
    <d v="2025-01-10T00:00:00"/>
    <d v="2025-01-12T00:00:00"/>
    <x v="1"/>
    <n v="3200"/>
    <x v="1"/>
    <s v="Completed  "/>
    <n v="2"/>
    <n v="6400"/>
    <s v="Normal"/>
  </r>
  <r>
    <s v="B004"/>
    <s v="Shreya Patil"/>
    <x v="3"/>
    <d v="2025-01-18T00:00:00"/>
    <d v="2025-01-22T00:00:00"/>
    <x v="2"/>
    <n v="4500"/>
    <x v="2"/>
    <s v="Cancelled  "/>
    <n v="4"/>
    <n v="18000"/>
    <s v="High"/>
  </r>
  <r>
    <s v="B005"/>
    <s v="Shashwat Yadav"/>
    <x v="4"/>
    <d v="2025-01-25T00:00:00"/>
    <d v="2025-01-28T00:00:00"/>
    <x v="3"/>
    <n v="7200"/>
    <x v="0"/>
    <s v="Completed  "/>
    <n v="3"/>
    <n v="21600"/>
    <s v="High"/>
  </r>
  <r>
    <s v="B006"/>
    <s v="Pradeep Kumar"/>
    <x v="5"/>
    <d v="2025-02-02T00:00:00"/>
    <d v="2025-02-06T00:00:00"/>
    <x v="1"/>
    <n v="3500"/>
    <x v="1"/>
    <s v="Confirmed  "/>
    <n v="4"/>
    <n v="14000"/>
    <s v="Normal"/>
  </r>
  <r>
    <s v="B007"/>
    <s v="Shekhar Pratap"/>
    <x v="0"/>
    <d v="2025-02-09T00:00:00"/>
    <d v="2025-02-11T00:00:00"/>
    <x v="0"/>
    <n v="2100"/>
    <x v="1"/>
    <s v="Completed  "/>
    <n v="2"/>
    <n v="4200"/>
    <s v="Normal"/>
  </r>
  <r>
    <s v="B008"/>
    <s v="Hamza Ali"/>
    <x v="6"/>
    <d v="2025-02-14T00:00:00"/>
    <d v="2025-02-18T00:00:00"/>
    <x v="2"/>
    <n v="4800"/>
    <x v="1"/>
    <s v="Completed  "/>
    <n v="4"/>
    <n v="19200"/>
    <s v="High"/>
  </r>
  <r>
    <s v="B009"/>
    <s v="Harleen Singh"/>
    <x v="7"/>
    <d v="2025-02-20T00:00:00"/>
    <d v="2025-02-23T00:00:00"/>
    <x v="3"/>
    <n v="7500"/>
    <x v="2"/>
    <s v="Confirmed  "/>
    <n v="3"/>
    <n v="22500"/>
    <s v="High"/>
  </r>
  <r>
    <s v="B010"/>
    <s v="Vinay Chauhan"/>
    <x v="2"/>
    <d v="2025-02-27T00:00:00"/>
    <d v="2025-03-02T00:00:00"/>
    <x v="1"/>
    <n v="3300"/>
    <x v="2"/>
    <s v="Cancelled  "/>
    <n v="3"/>
    <n v="9900"/>
    <s v="Normal"/>
  </r>
  <r>
    <s v="B011"/>
    <s v="Jaskirat Singh Rangi"/>
    <x v="4"/>
    <d v="2025-03-05T00:00:00"/>
    <d v="2025-03-09T00:00:00"/>
    <x v="2"/>
    <n v="4600"/>
    <x v="0"/>
    <s v="Completed  "/>
    <n v="4"/>
    <n v="18400"/>
    <s v="High"/>
  </r>
  <r>
    <s v="B012"/>
    <s v="Rakesh Kapoor"/>
    <x v="5"/>
    <d v="2025-03-12T00:00:00"/>
    <d v="2025-03-14T00:00:00"/>
    <x v="0"/>
    <n v="2000"/>
    <x v="2"/>
    <s v="Completed  "/>
    <n v="2"/>
    <n v="4000"/>
    <s v="Normal"/>
  </r>
  <r>
    <s v="B013"/>
    <s v="Anupriya Jaiswal"/>
    <x v="6"/>
    <d v="2025-03-18T00:00:00"/>
    <d v="2025-03-22T00:00:00"/>
    <x v="1"/>
    <n v="3400"/>
    <x v="0"/>
    <s v="Confirmed  "/>
    <n v="4"/>
    <n v="13600"/>
    <s v="Normal"/>
  </r>
  <r>
    <s v="B014"/>
    <s v="Krish Sodhi"/>
    <x v="4"/>
    <d v="2025-03-26T00:00:00"/>
    <d v="2025-03-30T00:00:00"/>
    <x v="3"/>
    <n v="7800"/>
    <x v="1"/>
    <s v="Completed "/>
    <n v="4"/>
    <n v="31200"/>
    <s v="High"/>
  </r>
  <r>
    <s v="B015"/>
    <s v="Michael Chophy"/>
    <x v="3"/>
    <d v="2025-04-03T00:00:00"/>
    <d v="2025-04-06T00:00:00"/>
    <x v="2"/>
    <n v="5000"/>
    <x v="0"/>
    <s v="Completed"/>
    <n v="3"/>
    <n v="15000"/>
    <s v="Nor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ABAD17-EB48-449F-A29D-BD71575ECF69}"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G3:H6" firstHeaderRow="1" firstDataRow="1" firstDataCol="1"/>
  <pivotFields count="12">
    <pivotField showAll="0"/>
    <pivotField showAll="0"/>
    <pivotField showAll="0"/>
    <pivotField numFmtId="14" showAll="0"/>
    <pivotField numFmtId="14" showAll="0"/>
    <pivotField showAll="0"/>
    <pivotField showAll="0"/>
    <pivotField axis="axisRow" showAll="0">
      <items count="4">
        <item x="2"/>
        <item x="1"/>
        <item x="0"/>
        <item t="default"/>
      </items>
    </pivotField>
    <pivotField showAll="0"/>
    <pivotField showAll="0"/>
    <pivotField dataField="1" showAll="0"/>
    <pivotField showAll="0"/>
  </pivotFields>
  <rowFields count="1">
    <field x="7"/>
  </rowFields>
  <rowItems count="3">
    <i>
      <x/>
    </i>
    <i>
      <x v="1"/>
    </i>
    <i>
      <x v="2"/>
    </i>
  </rowItems>
  <colItems count="1">
    <i/>
  </colItems>
  <dataFields count="1">
    <dataField name="Sum of Bill" fld="10" baseField="0" baseItem="0"/>
  </dataFields>
  <formats count="7">
    <format dxfId="0">
      <pivotArea outline="0" collapsedLevelsAreSubtotals="1" fieldPosition="0"/>
    </format>
    <format dxfId="1">
      <pivotArea dataOnly="0" labelOnly="1" fieldPosition="0">
        <references count="1">
          <reference field="7" count="0"/>
        </references>
      </pivotArea>
    </format>
    <format dxfId="2">
      <pivotArea type="all" dataOnly="0" outline="0" fieldPosition="0"/>
    </format>
    <format dxfId="3">
      <pivotArea outline="0" collapsedLevelsAreSubtotals="1" fieldPosition="0"/>
    </format>
    <format dxfId="4">
      <pivotArea field="7" type="button" dataOnly="0" labelOnly="1" outline="0" axis="axisRow" fieldPosition="0"/>
    </format>
    <format dxfId="5">
      <pivotArea dataOnly="0" labelOnly="1" fieldPosition="0">
        <references count="1">
          <reference field="7" count="0"/>
        </references>
      </pivotArea>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8CABA4-C753-4BBF-BAEB-435769DD12FB}"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D3:E11" firstHeaderRow="1" firstDataRow="1" firstDataCol="1"/>
  <pivotFields count="12">
    <pivotField showAll="0"/>
    <pivotField showAll="0"/>
    <pivotField axis="axisRow" showAll="0">
      <items count="9">
        <item x="3"/>
        <item x="7"/>
        <item x="0"/>
        <item x="1"/>
        <item x="2"/>
        <item x="5"/>
        <item x="4"/>
        <item x="6"/>
        <item t="default"/>
      </items>
    </pivotField>
    <pivotField numFmtId="14" showAll="0"/>
    <pivotField numFmtId="14" showAll="0"/>
    <pivotField showAll="0"/>
    <pivotField showAll="0"/>
    <pivotField showAll="0"/>
    <pivotField showAll="0"/>
    <pivotField showAll="0"/>
    <pivotField dataField="1" showAll="0"/>
    <pivotField showAll="0"/>
  </pivotFields>
  <rowFields count="1">
    <field x="2"/>
  </rowFields>
  <rowItems count="8">
    <i>
      <x/>
    </i>
    <i>
      <x v="1"/>
    </i>
    <i>
      <x v="2"/>
    </i>
    <i>
      <x v="3"/>
    </i>
    <i>
      <x v="4"/>
    </i>
    <i>
      <x v="5"/>
    </i>
    <i>
      <x v="6"/>
    </i>
    <i>
      <x v="7"/>
    </i>
  </rowItems>
  <colItems count="1">
    <i/>
  </colItems>
  <dataFields count="1">
    <dataField name="Sum of Bill" fld="10" baseField="0" baseItem="0"/>
  </dataFields>
  <formats count="6">
    <format dxfId="7">
      <pivotArea outline="0" collapsedLevelsAreSubtotals="1" fieldPosition="0"/>
    </format>
    <format dxfId="8">
      <pivotArea dataOnly="0" labelOnly="1" fieldPosition="0">
        <references count="1">
          <reference field="2" count="0"/>
        </references>
      </pivotArea>
    </format>
    <format dxfId="9">
      <pivotArea field="2" type="button" dataOnly="0" labelOnly="1" outline="0" axis="axisRow" fieldPosition="0"/>
    </format>
    <format dxfId="10">
      <pivotArea dataOnly="0" labelOnly="1" fieldPosition="0">
        <references count="1">
          <reference field="2" count="0"/>
        </references>
      </pivotArea>
    </format>
    <format dxfId="11">
      <pivotArea outline="0" collapsedLevelsAreSubtotals="1"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424E4C-713D-4DB3-B7CB-1B68A90315F2}"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7" firstHeaderRow="1" firstDataRow="1" firstDataCol="1"/>
  <pivotFields count="12">
    <pivotField dataField="1" showAll="0"/>
    <pivotField showAll="0"/>
    <pivotField showAll="0"/>
    <pivotField numFmtId="14" showAll="0"/>
    <pivotField numFmtId="14" showAll="0"/>
    <pivotField axis="axisRow" showAll="0">
      <items count="5">
        <item x="2"/>
        <item x="1"/>
        <item x="0"/>
        <item x="3"/>
        <item t="default"/>
      </items>
    </pivotField>
    <pivotField showAll="0"/>
    <pivotField showAll="0"/>
    <pivotField showAll="0"/>
    <pivotField showAll="0"/>
    <pivotField showAll="0"/>
    <pivotField showAll="0"/>
  </pivotFields>
  <rowFields count="1">
    <field x="5"/>
  </rowFields>
  <rowItems count="4">
    <i>
      <x/>
    </i>
    <i>
      <x v="1"/>
    </i>
    <i>
      <x v="2"/>
    </i>
    <i>
      <x v="3"/>
    </i>
  </rowItems>
  <colItems count="1">
    <i/>
  </colItems>
  <dataFields count="1">
    <dataField name="Count of Booking ID" fld="0" subtotal="count" baseField="5" baseItem="0"/>
  </dataFields>
  <formats count="5">
    <format dxfId="22">
      <pivotArea field="5" type="button" dataOnly="0" labelOnly="1" outline="0" axis="axisRow" fieldPosition="0"/>
    </format>
    <format dxfId="21">
      <pivotArea dataOnly="0" labelOnly="1" fieldPosition="0">
        <references count="1">
          <reference field="5" count="0"/>
        </references>
      </pivotArea>
    </format>
    <format dxfId="20">
      <pivotArea outline="0" collapsedLevelsAreSubtotals="1" fieldPosition="0"/>
    </format>
    <format dxfId="19">
      <pivotArea dataOnly="0" labelOnly="1" outline="0" axis="axisValues" fieldPosition="0"/>
    </format>
    <format dxfId="18">
      <pivotArea dataOnly="0"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C92E668-4F40-47BE-8CD0-8394CAD209D2}" sourceName="City">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Type" xr10:uid="{FADAA1B9-0032-4645-A398-8C52DA1FA16B}" sourceName="Room Type">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9BC8E954-BEF9-400B-8F63-30D858AB232E}" cache="Slicer_City" caption="City" startItem="1" rowHeight="234950"/>
  <slicer name="Room Type" xr10:uid="{8EC36C34-631A-438E-9F23-498F9F6B85DA}" cache="Slicer_Room_Type" caption="Room 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A58BAE-2CB9-4715-B85D-3205C0E37B6B}" name="Table1" displayName="Table1" ref="A4:K19" totalsRowShown="0" headerRowDxfId="37" headerRowBorderDxfId="36" tableBorderDxfId="35" totalsRowBorderDxfId="34">
  <autoFilter ref="A4:K19" xr:uid="{74A58BAE-2CB9-4715-B85D-3205C0E37B6B}"/>
  <tableColumns count="11">
    <tableColumn id="1" xr3:uid="{165817D7-A80E-4494-93C8-2AD2F6830C3B}" name="Booking ID" dataDxfId="33"/>
    <tableColumn id="2" xr3:uid="{CA868494-0D61-46E5-BDDF-D7859663E8D9}" name="Customer Name" dataDxfId="32"/>
    <tableColumn id="3" xr3:uid="{6C9D5EF8-F9EE-4E69-8435-6CDB013B8C22}" name="City" dataDxfId="31"/>
    <tableColumn id="4" xr3:uid="{DE7C3C3B-F891-42F5-839D-D2DBE721E9CA}" name="Check-in date" dataDxfId="30"/>
    <tableColumn id="5" xr3:uid="{FCFFB4F6-680C-4ECF-A05C-3D56D61F684B}" name="Check-out date" dataDxfId="29"/>
    <tableColumn id="6" xr3:uid="{B3893993-6870-482C-AA43-99B36E2D2BA5}" name="Room Type" dataDxfId="28"/>
    <tableColumn id="7" xr3:uid="{36EC5C19-BF80-4B17-9BA1-53D98624A84B}" name="Price per night" dataDxfId="27"/>
    <tableColumn id="8" xr3:uid="{79B68C2E-D0DB-45A3-B875-1688B0A214E8}" name="Payment Mode" dataDxfId="26"/>
    <tableColumn id="9" xr3:uid="{CE84095F-A07B-41CD-BF07-D3D9000306C6}" name="Booking Status" dataDxfId="25"/>
    <tableColumn id="10" xr3:uid="{0A5C4799-6336-4285-8BB4-5284619DEA50}" name="Total Nights" dataDxfId="24">
      <calculatedColumnFormula>E5-D5</calculatedColumnFormula>
    </tableColumn>
    <tableColumn id="11" xr3:uid="{681E8ABD-767F-4F76-86CC-AF1317E2335C}" name="Bill" dataDxfId="23">
      <calculatedColumnFormula>G5*J5</calculatedColumnFormula>
    </tableColumn>
  </tableColumns>
  <tableStyleInfo name="TableStyleDark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9499C-40B4-4B73-9C76-DC65A557944F}">
  <dimension ref="A3:H11"/>
  <sheetViews>
    <sheetView tabSelected="1" workbookViewId="0">
      <selection activeCell="K12" sqref="K12"/>
    </sheetView>
  </sheetViews>
  <sheetFormatPr defaultRowHeight="14.4" x14ac:dyDescent="0.3"/>
  <cols>
    <col min="1" max="1" width="12.5546875" style="1" bestFit="1" customWidth="1"/>
    <col min="2" max="2" width="18.109375" style="1" bestFit="1" customWidth="1"/>
    <col min="4" max="4" width="14.77734375" bestFit="1" customWidth="1"/>
    <col min="5" max="5" width="9.88671875" bestFit="1" customWidth="1"/>
    <col min="7" max="7" width="14.77734375" bestFit="1" customWidth="1"/>
    <col min="8" max="8" width="9.88671875" bestFit="1" customWidth="1"/>
  </cols>
  <sheetData>
    <row r="3" spans="1:8" x14ac:dyDescent="0.3">
      <c r="A3" s="16" t="s">
        <v>70</v>
      </c>
      <c r="B3" s="1" t="s">
        <v>72</v>
      </c>
      <c r="D3" s="16" t="s">
        <v>70</v>
      </c>
      <c r="E3" s="1" t="s">
        <v>71</v>
      </c>
      <c r="G3" s="16" t="s">
        <v>70</v>
      </c>
      <c r="H3" s="1" t="s">
        <v>71</v>
      </c>
    </row>
    <row r="4" spans="1:8" x14ac:dyDescent="0.3">
      <c r="A4" s="2" t="s">
        <v>55</v>
      </c>
      <c r="B4" s="2">
        <v>4</v>
      </c>
      <c r="D4" s="2" t="s">
        <v>57</v>
      </c>
      <c r="E4" s="2">
        <v>33000</v>
      </c>
      <c r="G4" s="2" t="s">
        <v>49</v>
      </c>
      <c r="H4" s="2">
        <v>54400</v>
      </c>
    </row>
    <row r="5" spans="1:8" x14ac:dyDescent="0.3">
      <c r="A5" s="2" t="s">
        <v>54</v>
      </c>
      <c r="B5" s="2">
        <v>4</v>
      </c>
      <c r="D5" s="2" t="s">
        <v>46</v>
      </c>
      <c r="E5" s="2">
        <v>22500</v>
      </c>
      <c r="G5" s="2" t="s">
        <v>48</v>
      </c>
      <c r="H5" s="2">
        <v>75000</v>
      </c>
    </row>
    <row r="6" spans="1:8" x14ac:dyDescent="0.3">
      <c r="A6" s="2" t="s">
        <v>53</v>
      </c>
      <c r="B6" s="2">
        <v>4</v>
      </c>
      <c r="D6" s="2" t="s">
        <v>39</v>
      </c>
      <c r="E6" s="2">
        <v>20300</v>
      </c>
      <c r="G6" s="2" t="s">
        <v>47</v>
      </c>
      <c r="H6" s="2">
        <v>91300</v>
      </c>
    </row>
    <row r="7" spans="1:8" x14ac:dyDescent="0.3">
      <c r="A7" s="2" t="s">
        <v>56</v>
      </c>
      <c r="B7" s="2">
        <v>3</v>
      </c>
      <c r="D7" s="2" t="s">
        <v>40</v>
      </c>
      <c r="E7" s="2">
        <v>6600</v>
      </c>
    </row>
    <row r="8" spans="1:8" x14ac:dyDescent="0.3">
      <c r="D8" s="2" t="s">
        <v>42</v>
      </c>
      <c r="E8" s="2">
        <v>16300</v>
      </c>
    </row>
    <row r="9" spans="1:8" x14ac:dyDescent="0.3">
      <c r="D9" s="2" t="s">
        <v>44</v>
      </c>
      <c r="E9" s="2">
        <v>18000</v>
      </c>
    </row>
    <row r="10" spans="1:8" x14ac:dyDescent="0.3">
      <c r="D10" s="2" t="s">
        <v>43</v>
      </c>
      <c r="E10" s="2">
        <v>71200</v>
      </c>
    </row>
    <row r="11" spans="1:8" x14ac:dyDescent="0.3">
      <c r="D11" s="2" t="s">
        <v>45</v>
      </c>
      <c r="E11" s="2">
        <v>32800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BB569-A41E-4B5E-80D5-CDA282B9C24E}">
  <dimension ref="A1:S19"/>
  <sheetViews>
    <sheetView topLeftCell="C8" zoomScale="85" zoomScaleNormal="74" workbookViewId="0">
      <selection activeCell="K31" sqref="K31"/>
    </sheetView>
  </sheetViews>
  <sheetFormatPr defaultRowHeight="14.4" x14ac:dyDescent="0.3"/>
  <cols>
    <col min="1" max="1" width="15.5546875" style="1" bestFit="1" customWidth="1"/>
    <col min="2" max="2" width="22" style="1" bestFit="1" customWidth="1"/>
    <col min="3" max="3" width="9.77734375" style="1" bestFit="1" customWidth="1"/>
    <col min="4" max="4" width="19.77734375" style="1" bestFit="1" customWidth="1"/>
    <col min="5" max="5" width="21.33203125" style="1" bestFit="1" customWidth="1"/>
    <col min="6" max="6" width="17.44140625" style="1" bestFit="1" customWidth="1"/>
    <col min="7" max="7" width="20.88671875" style="1" bestFit="1" customWidth="1"/>
    <col min="8" max="8" width="21.44140625" style="1" bestFit="1" customWidth="1"/>
    <col min="9" max="9" width="21.21875" style="1" bestFit="1" customWidth="1"/>
    <col min="10" max="10" width="16.6640625" style="1" bestFit="1" customWidth="1"/>
    <col min="11" max="11" width="9.5546875" style="1" bestFit="1" customWidth="1"/>
    <col min="14" max="14" width="20.88671875" style="1" bestFit="1" customWidth="1"/>
    <col min="15" max="15" width="8.5546875" style="1" bestFit="1" customWidth="1"/>
    <col min="16" max="16" width="4.6640625" customWidth="1"/>
    <col min="17" max="17" width="11.44140625" style="1" bestFit="1" customWidth="1"/>
    <col min="18" max="18" width="12.109375" style="1" bestFit="1" customWidth="1"/>
    <col min="19" max="19" width="14.77734375" style="1" bestFit="1" customWidth="1"/>
  </cols>
  <sheetData>
    <row r="1" spans="1:19" ht="14.4" customHeight="1" x14ac:dyDescent="0.3">
      <c r="A1" s="18" t="s">
        <v>41</v>
      </c>
      <c r="B1" s="18"/>
      <c r="C1" s="18"/>
      <c r="D1" s="18"/>
      <c r="E1" s="18"/>
      <c r="F1" s="18"/>
      <c r="G1" s="18"/>
      <c r="H1" s="18"/>
      <c r="I1" s="18"/>
      <c r="J1" s="18"/>
      <c r="K1" s="18"/>
    </row>
    <row r="2" spans="1:19" ht="14.4" customHeight="1" x14ac:dyDescent="0.3">
      <c r="A2" s="18"/>
      <c r="B2" s="18"/>
      <c r="C2" s="18"/>
      <c r="D2" s="18"/>
      <c r="E2" s="18"/>
      <c r="F2" s="18"/>
      <c r="G2" s="18"/>
      <c r="H2" s="18"/>
      <c r="I2" s="18"/>
      <c r="J2" s="18"/>
      <c r="K2" s="18"/>
      <c r="N2" s="19" t="s">
        <v>67</v>
      </c>
      <c r="O2" s="19"/>
    </row>
    <row r="3" spans="1:19" x14ac:dyDescent="0.3">
      <c r="N3" s="20"/>
      <c r="O3" s="20"/>
    </row>
    <row r="4" spans="1:19" ht="15.6" x14ac:dyDescent="0.3">
      <c r="A4" s="7" t="s">
        <v>0</v>
      </c>
      <c r="B4" s="8" t="s">
        <v>1</v>
      </c>
      <c r="C4" s="8" t="s">
        <v>2</v>
      </c>
      <c r="D4" s="8" t="s">
        <v>3</v>
      </c>
      <c r="E4" s="8" t="s">
        <v>4</v>
      </c>
      <c r="F4" s="8" t="s">
        <v>5</v>
      </c>
      <c r="G4" s="8" t="s">
        <v>6</v>
      </c>
      <c r="H4" s="8" t="s">
        <v>7</v>
      </c>
      <c r="I4" s="9" t="s">
        <v>8</v>
      </c>
      <c r="J4" s="14" t="s">
        <v>58</v>
      </c>
      <c r="K4" s="14" t="s">
        <v>59</v>
      </c>
      <c r="N4" s="2" t="s">
        <v>60</v>
      </c>
      <c r="O4" s="2">
        <f>COUNTA(A5:A19)</f>
        <v>15</v>
      </c>
    </row>
    <row r="5" spans="1:19" x14ac:dyDescent="0.3">
      <c r="A5" s="5" t="s">
        <v>9</v>
      </c>
      <c r="B5" s="2" t="s">
        <v>24</v>
      </c>
      <c r="C5" s="2" t="s">
        <v>39</v>
      </c>
      <c r="D5" s="3">
        <v>45995</v>
      </c>
      <c r="E5" s="3">
        <v>46002</v>
      </c>
      <c r="F5" s="4" t="s">
        <v>53</v>
      </c>
      <c r="G5" s="4">
        <v>2300</v>
      </c>
      <c r="H5" s="2" t="s">
        <v>47</v>
      </c>
      <c r="I5" s="6" t="s">
        <v>50</v>
      </c>
      <c r="J5" s="2">
        <f t="shared" ref="J5:J19" si="0">E5-D5</f>
        <v>7</v>
      </c>
      <c r="K5" s="2">
        <f t="shared" ref="K5:K19" si="1">G5*J5</f>
        <v>16100</v>
      </c>
      <c r="N5" s="2" t="s">
        <v>61</v>
      </c>
      <c r="O5" s="2">
        <f>SUM(K5:K19)-SUM(K8,K14)</f>
        <v>192800</v>
      </c>
    </row>
    <row r="6" spans="1:19" x14ac:dyDescent="0.3">
      <c r="A6" s="5" t="s">
        <v>10</v>
      </c>
      <c r="B6" s="2" t="s">
        <v>25</v>
      </c>
      <c r="C6" s="2" t="s">
        <v>40</v>
      </c>
      <c r="D6" s="3">
        <v>45662</v>
      </c>
      <c r="E6" s="3">
        <v>45665</v>
      </c>
      <c r="F6" s="4" t="s">
        <v>53</v>
      </c>
      <c r="G6" s="4">
        <v>2200</v>
      </c>
      <c r="H6" s="2" t="s">
        <v>47</v>
      </c>
      <c r="I6" s="6" t="s">
        <v>51</v>
      </c>
      <c r="J6" s="2">
        <f t="shared" si="0"/>
        <v>3</v>
      </c>
      <c r="K6" s="2">
        <f t="shared" si="1"/>
        <v>6600</v>
      </c>
      <c r="N6" s="2" t="s">
        <v>62</v>
      </c>
      <c r="O6" s="15">
        <f>AVERAGE(G5:G19)</f>
        <v>4226.666666666667</v>
      </c>
    </row>
    <row r="7" spans="1:19" x14ac:dyDescent="0.3">
      <c r="A7" s="5" t="s">
        <v>11</v>
      </c>
      <c r="B7" s="2" t="s">
        <v>26</v>
      </c>
      <c r="C7" s="2" t="s">
        <v>42</v>
      </c>
      <c r="D7" s="3">
        <v>45667</v>
      </c>
      <c r="E7" s="3">
        <v>45669</v>
      </c>
      <c r="F7" s="4" t="s">
        <v>54</v>
      </c>
      <c r="G7" s="4">
        <v>3200</v>
      </c>
      <c r="H7" s="2" t="s">
        <v>48</v>
      </c>
      <c r="I7" s="6" t="s">
        <v>50</v>
      </c>
      <c r="J7" s="2">
        <f t="shared" si="0"/>
        <v>2</v>
      </c>
      <c r="K7" s="2">
        <f t="shared" si="1"/>
        <v>6400</v>
      </c>
      <c r="N7" s="2" t="s">
        <v>63</v>
      </c>
      <c r="O7" s="2">
        <f>COUNTIF(I5:I19, "*Cancelled*")</f>
        <v>2</v>
      </c>
    </row>
    <row r="8" spans="1:19" x14ac:dyDescent="0.3">
      <c r="A8" s="5" t="s">
        <v>12</v>
      </c>
      <c r="B8" s="2" t="s">
        <v>27</v>
      </c>
      <c r="C8" s="2" t="s">
        <v>57</v>
      </c>
      <c r="D8" s="3">
        <v>45675</v>
      </c>
      <c r="E8" s="3">
        <v>45679</v>
      </c>
      <c r="F8" s="4" t="s">
        <v>55</v>
      </c>
      <c r="G8" s="4">
        <v>4500</v>
      </c>
      <c r="H8" s="2" t="s">
        <v>49</v>
      </c>
      <c r="I8" s="6" t="s">
        <v>52</v>
      </c>
      <c r="J8" s="2">
        <f t="shared" si="0"/>
        <v>4</v>
      </c>
      <c r="K8" s="2">
        <f t="shared" si="1"/>
        <v>18000</v>
      </c>
    </row>
    <row r="9" spans="1:19" x14ac:dyDescent="0.3">
      <c r="A9" s="5" t="s">
        <v>13</v>
      </c>
      <c r="B9" s="2" t="s">
        <v>28</v>
      </c>
      <c r="C9" s="2" t="s">
        <v>43</v>
      </c>
      <c r="D9" s="3">
        <v>45682</v>
      </c>
      <c r="E9" s="3">
        <v>45685</v>
      </c>
      <c r="F9" s="4" t="s">
        <v>56</v>
      </c>
      <c r="G9" s="4">
        <v>7200</v>
      </c>
      <c r="H9" s="2" t="s">
        <v>47</v>
      </c>
      <c r="I9" s="6" t="s">
        <v>50</v>
      </c>
      <c r="J9" s="2">
        <f t="shared" si="0"/>
        <v>3</v>
      </c>
      <c r="K9" s="2">
        <f t="shared" si="1"/>
        <v>21600</v>
      </c>
    </row>
    <row r="10" spans="1:19" x14ac:dyDescent="0.3">
      <c r="A10" s="5" t="s">
        <v>14</v>
      </c>
      <c r="B10" s="2" t="s">
        <v>29</v>
      </c>
      <c r="C10" s="2" t="s">
        <v>44</v>
      </c>
      <c r="D10" s="3">
        <v>45690</v>
      </c>
      <c r="E10" s="3">
        <v>45694</v>
      </c>
      <c r="F10" s="4" t="s">
        <v>54</v>
      </c>
      <c r="G10" s="4">
        <v>3500</v>
      </c>
      <c r="H10" s="2" t="s">
        <v>48</v>
      </c>
      <c r="I10" s="6" t="s">
        <v>51</v>
      </c>
      <c r="J10" s="2">
        <f t="shared" si="0"/>
        <v>4</v>
      </c>
      <c r="K10" s="2">
        <f t="shared" si="1"/>
        <v>14000</v>
      </c>
    </row>
    <row r="11" spans="1:19" x14ac:dyDescent="0.3">
      <c r="A11" s="5" t="s">
        <v>15</v>
      </c>
      <c r="B11" s="2" t="s">
        <v>30</v>
      </c>
      <c r="C11" s="2" t="s">
        <v>39</v>
      </c>
      <c r="D11" s="3">
        <v>45697</v>
      </c>
      <c r="E11" s="3">
        <v>45699</v>
      </c>
      <c r="F11" s="4" t="s">
        <v>53</v>
      </c>
      <c r="G11" s="4">
        <v>2100</v>
      </c>
      <c r="H11" s="2" t="s">
        <v>48</v>
      </c>
      <c r="I11" s="6" t="s">
        <v>50</v>
      </c>
      <c r="J11" s="2">
        <f t="shared" si="0"/>
        <v>2</v>
      </c>
      <c r="K11" s="2">
        <f t="shared" si="1"/>
        <v>4200</v>
      </c>
    </row>
    <row r="12" spans="1:19" x14ac:dyDescent="0.3">
      <c r="A12" s="5" t="s">
        <v>16</v>
      </c>
      <c r="B12" s="2" t="s">
        <v>31</v>
      </c>
      <c r="C12" s="2" t="s">
        <v>45</v>
      </c>
      <c r="D12" s="3">
        <v>45702</v>
      </c>
      <c r="E12" s="3">
        <v>45706</v>
      </c>
      <c r="F12" s="4" t="s">
        <v>55</v>
      </c>
      <c r="G12" s="4">
        <v>4800</v>
      </c>
      <c r="H12" s="2" t="s">
        <v>48</v>
      </c>
      <c r="I12" s="6" t="s">
        <v>50</v>
      </c>
      <c r="J12" s="2">
        <f t="shared" si="0"/>
        <v>4</v>
      </c>
      <c r="K12" s="2">
        <f t="shared" si="1"/>
        <v>19200</v>
      </c>
      <c r="N12" s="17" t="s">
        <v>73</v>
      </c>
      <c r="O12" s="17"/>
      <c r="Q12"/>
      <c r="R12"/>
      <c r="S12"/>
    </row>
    <row r="13" spans="1:19" x14ac:dyDescent="0.3">
      <c r="A13" s="5" t="s">
        <v>17</v>
      </c>
      <c r="B13" s="2" t="s">
        <v>32</v>
      </c>
      <c r="C13" s="2" t="s">
        <v>46</v>
      </c>
      <c r="D13" s="3">
        <v>45708</v>
      </c>
      <c r="E13" s="3">
        <v>45711</v>
      </c>
      <c r="F13" s="4" t="s">
        <v>56</v>
      </c>
      <c r="G13" s="4">
        <v>7500</v>
      </c>
      <c r="H13" s="2" t="s">
        <v>49</v>
      </c>
      <c r="I13" s="6" t="s">
        <v>51</v>
      </c>
      <c r="J13" s="2">
        <f t="shared" si="0"/>
        <v>3</v>
      </c>
      <c r="K13" s="2">
        <f t="shared" si="1"/>
        <v>22500</v>
      </c>
      <c r="N13" s="2" t="s">
        <v>68</v>
      </c>
      <c r="O13" s="2" t="s">
        <v>69</v>
      </c>
      <c r="Q13"/>
      <c r="R13"/>
      <c r="S13"/>
    </row>
    <row r="14" spans="1:19" x14ac:dyDescent="0.3">
      <c r="A14" s="5" t="s">
        <v>18</v>
      </c>
      <c r="B14" s="2" t="s">
        <v>33</v>
      </c>
      <c r="C14" s="2" t="s">
        <v>42</v>
      </c>
      <c r="D14" s="3">
        <v>45715</v>
      </c>
      <c r="E14" s="3">
        <v>45718</v>
      </c>
      <c r="F14" s="4" t="s">
        <v>54</v>
      </c>
      <c r="G14" s="4">
        <v>3300</v>
      </c>
      <c r="H14" s="2" t="s">
        <v>49</v>
      </c>
      <c r="I14" s="6" t="s">
        <v>52</v>
      </c>
      <c r="J14" s="2">
        <f t="shared" si="0"/>
        <v>3</v>
      </c>
      <c r="K14" s="2">
        <f t="shared" si="1"/>
        <v>9900</v>
      </c>
      <c r="N14" s="2" t="s">
        <v>64</v>
      </c>
      <c r="O14" s="2">
        <f>VLOOKUP(N14,Table1[[#All],[Customer Name]:[Bill]],10,0)</f>
        <v>22500</v>
      </c>
      <c r="Q14"/>
      <c r="R14"/>
      <c r="S14"/>
    </row>
    <row r="15" spans="1:19" x14ac:dyDescent="0.3">
      <c r="A15" s="5" t="s">
        <v>19</v>
      </c>
      <c r="B15" s="2" t="s">
        <v>34</v>
      </c>
      <c r="C15" s="2" t="s">
        <v>43</v>
      </c>
      <c r="D15" s="3">
        <v>45721</v>
      </c>
      <c r="E15" s="3">
        <v>45725</v>
      </c>
      <c r="F15" s="4" t="s">
        <v>55</v>
      </c>
      <c r="G15" s="4">
        <v>4600</v>
      </c>
      <c r="H15" s="2" t="s">
        <v>47</v>
      </c>
      <c r="I15" s="6" t="s">
        <v>50</v>
      </c>
      <c r="J15" s="2">
        <f t="shared" si="0"/>
        <v>4</v>
      </c>
      <c r="K15" s="2">
        <f t="shared" si="1"/>
        <v>18400</v>
      </c>
      <c r="N15" s="2" t="s">
        <v>65</v>
      </c>
      <c r="O15" s="2">
        <f>VLOOKUP(N15,Table1[[#All],[Customer Name]:[Bill]],10,0)</f>
        <v>19200</v>
      </c>
      <c r="Q15"/>
      <c r="R15"/>
      <c r="S15"/>
    </row>
    <row r="16" spans="1:19" x14ac:dyDescent="0.3">
      <c r="A16" s="5" t="s">
        <v>20</v>
      </c>
      <c r="B16" s="2" t="s">
        <v>35</v>
      </c>
      <c r="C16" s="2" t="s">
        <v>44</v>
      </c>
      <c r="D16" s="3">
        <v>45728</v>
      </c>
      <c r="E16" s="3">
        <v>45730</v>
      </c>
      <c r="F16" s="4" t="s">
        <v>53</v>
      </c>
      <c r="G16" s="4">
        <v>2000</v>
      </c>
      <c r="H16" s="2" t="s">
        <v>49</v>
      </c>
      <c r="I16" s="6" t="s">
        <v>50</v>
      </c>
      <c r="J16" s="2">
        <f t="shared" si="0"/>
        <v>2</v>
      </c>
      <c r="K16" s="2">
        <f t="shared" si="1"/>
        <v>4000</v>
      </c>
      <c r="N16" s="2" t="s">
        <v>66</v>
      </c>
      <c r="O16" s="2">
        <f>VLOOKUP(N16,Table1[[#All],[Customer Name]:[Bill]],10,0)</f>
        <v>4000</v>
      </c>
      <c r="Q16"/>
      <c r="R16"/>
      <c r="S16"/>
    </row>
    <row r="17" spans="1:19" x14ac:dyDescent="0.3">
      <c r="A17" s="5" t="s">
        <v>21</v>
      </c>
      <c r="B17" s="2" t="s">
        <v>36</v>
      </c>
      <c r="C17" s="2" t="s">
        <v>45</v>
      </c>
      <c r="D17" s="3">
        <v>45734</v>
      </c>
      <c r="E17" s="3">
        <v>45738</v>
      </c>
      <c r="F17" s="4" t="s">
        <v>54</v>
      </c>
      <c r="G17" s="4">
        <v>3400</v>
      </c>
      <c r="H17" s="2" t="s">
        <v>47</v>
      </c>
      <c r="I17" s="6" t="s">
        <v>51</v>
      </c>
      <c r="J17" s="2">
        <f t="shared" si="0"/>
        <v>4</v>
      </c>
      <c r="K17" s="2">
        <f t="shared" si="1"/>
        <v>13600</v>
      </c>
      <c r="Q17"/>
      <c r="R17"/>
      <c r="S17"/>
    </row>
    <row r="18" spans="1:19" x14ac:dyDescent="0.3">
      <c r="A18" s="5" t="s">
        <v>22</v>
      </c>
      <c r="B18" s="2" t="s">
        <v>37</v>
      </c>
      <c r="C18" s="2" t="s">
        <v>43</v>
      </c>
      <c r="D18" s="3">
        <v>45742</v>
      </c>
      <c r="E18" s="3">
        <v>45746</v>
      </c>
      <c r="F18" s="4" t="s">
        <v>56</v>
      </c>
      <c r="G18" s="4">
        <v>7800</v>
      </c>
      <c r="H18" s="2" t="s">
        <v>48</v>
      </c>
      <c r="I18" s="6" t="s">
        <v>50</v>
      </c>
      <c r="J18" s="2">
        <f t="shared" si="0"/>
        <v>4</v>
      </c>
      <c r="K18" s="2">
        <f t="shared" si="1"/>
        <v>31200</v>
      </c>
    </row>
    <row r="19" spans="1:19" x14ac:dyDescent="0.3">
      <c r="A19" s="10" t="s">
        <v>23</v>
      </c>
      <c r="B19" s="11" t="s">
        <v>38</v>
      </c>
      <c r="C19" s="11" t="s">
        <v>57</v>
      </c>
      <c r="D19" s="12">
        <v>45750</v>
      </c>
      <c r="E19" s="12">
        <v>45753</v>
      </c>
      <c r="F19" s="13" t="s">
        <v>55</v>
      </c>
      <c r="G19" s="13">
        <v>5000</v>
      </c>
      <c r="H19" s="11" t="s">
        <v>47</v>
      </c>
      <c r="I19" s="6" t="s">
        <v>50</v>
      </c>
      <c r="J19" s="2">
        <f t="shared" si="0"/>
        <v>3</v>
      </c>
      <c r="K19" s="2">
        <f t="shared" si="1"/>
        <v>15000</v>
      </c>
    </row>
  </sheetData>
  <mergeCells count="3">
    <mergeCell ref="N12:O12"/>
    <mergeCell ref="A1:K2"/>
    <mergeCell ref="N2:O3"/>
  </mergeCells>
  <phoneticPr fontId="1" type="noConversion"/>
  <conditionalFormatting sqref="F5:F19">
    <cfRule type="containsText" dxfId="17" priority="1" operator="containsText" text="suite">
      <formula>NOT(ISERROR(SEARCH("suite",F5)))</formula>
    </cfRule>
  </conditionalFormatting>
  <conditionalFormatting sqref="I3:I1048576">
    <cfRule type="dataBar" priority="9">
      <dataBar>
        <cfvo type="min"/>
        <cfvo type="max"/>
        <color rgb="FFFF555A"/>
      </dataBar>
      <extLst>
        <ext xmlns:x14="http://schemas.microsoft.com/office/spreadsheetml/2009/9/main" uri="{B025F937-C7B1-47D3-B67F-A62EFF666E3E}">
          <x14:id>{EA401DE8-2AC6-48FB-87AE-8329610A60F6}</x14:id>
        </ext>
      </extLst>
    </cfRule>
    <cfRule type="cellIs" priority="10" operator="equal">
      <formula>"Cancelled"</formula>
    </cfRule>
  </conditionalFormatting>
  <conditionalFormatting sqref="I5:I19">
    <cfRule type="containsText" dxfId="16" priority="2" operator="containsText" text="Cancelled">
      <formula>NOT(ISERROR(SEARCH("Cancelled",I5)))</formula>
    </cfRule>
    <cfRule type="containsText" dxfId="15" priority="5" operator="containsText" text="Completed  ">
      <formula>NOT(ISERROR(SEARCH("Completed  ",I5)))</formula>
    </cfRule>
    <cfRule type="dataBar" priority="6">
      <dataBar>
        <cfvo type="min"/>
        <cfvo type="max"/>
        <color rgb="FFD6007B"/>
      </dataBar>
      <extLst>
        <ext xmlns:x14="http://schemas.microsoft.com/office/spreadsheetml/2009/9/main" uri="{B025F937-C7B1-47D3-B67F-A62EFF666E3E}">
          <x14:id>{EDE051C6-391C-4A5F-BB59-C7F9BD23CE9E}</x14:id>
        </ext>
      </extLst>
    </cfRule>
    <cfRule type="cellIs" priority="7" operator="equal">
      <formula>"Cancelled"</formula>
    </cfRule>
  </conditionalFormatting>
  <conditionalFormatting sqref="K5:K19">
    <cfRule type="cellIs" dxfId="14" priority="3" operator="greaterThan">
      <formula>15000</formula>
    </cfRule>
    <cfRule type="cellIs" dxfId="13" priority="4" operator="greaterThan">
      <formula>15000</formula>
    </cfRule>
    <cfRule type="cellIs" priority="11" operator="greaterThan">
      <formula>15000</formula>
    </cfRule>
    <cfRule type="expression" priority="13">
      <formula>"k5&gt;15000"</formula>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A401DE8-2AC6-48FB-87AE-8329610A60F6}">
            <x14:dataBar minLength="0" maxLength="100" gradient="0">
              <x14:cfvo type="autoMin"/>
              <x14:cfvo type="autoMax"/>
              <x14:negativeFillColor rgb="FFFF0000"/>
              <x14:axisColor rgb="FF000000"/>
            </x14:dataBar>
          </x14:cfRule>
          <xm:sqref>I3:I1048576</xm:sqref>
        </x14:conditionalFormatting>
        <x14:conditionalFormatting xmlns:xm="http://schemas.microsoft.com/office/excel/2006/main">
          <x14:cfRule type="dataBar" id="{EDE051C6-391C-4A5F-BB59-C7F9BD23CE9E}">
            <x14:dataBar minLength="0" maxLength="100" border="1" negativeBarBorderColorSameAsPositive="0">
              <x14:cfvo type="autoMin"/>
              <x14:cfvo type="autoMax"/>
              <x14:borderColor rgb="FFD6007B"/>
              <x14:negativeFillColor rgb="FFFF0000"/>
              <x14:negativeBorderColor rgb="FFFF0000"/>
              <x14:axisColor rgb="FF000000"/>
            </x14:dataBar>
          </x14:cfRule>
          <xm:sqref>I5:I19</xm:sqref>
        </x14:conditionalFormatting>
      </x14:conditionalFormattings>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vishrut pandey</dc:creator>
  <cp:lastModifiedBy>vishrut pandey</cp:lastModifiedBy>
  <dcterms:created xsi:type="dcterms:W3CDTF">2025-12-10T18:54:34Z</dcterms:created>
  <dcterms:modified xsi:type="dcterms:W3CDTF">2026-04-09T09:38:54Z</dcterms:modified>
</cp:coreProperties>
</file>